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5.xml" ContentType="application/vnd.ms-excel.person+xml"/>
  <Override PartName="/xl/persons/person6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2.xml" ContentType="application/vnd.ms-excel.person+xml"/>
  <Override PartName="/xl/persons/person3.xml" ContentType="application/vnd.ms-excel.person+xml"/>
  <Override PartName="/xl/persons/person7.xml" ContentType="application/vnd.ms-excel.person+xml"/>
  <Override PartName="/xl/persons/person4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ae Kim\Documents\Projects\Golf Performance\"/>
    </mc:Choice>
  </mc:AlternateContent>
  <xr:revisionPtr revIDLastSave="0" documentId="13_ncr:1_{EB822F95-9839-4BF8-AB27-46BCAF0633AC}" xr6:coauthVersionLast="47" xr6:coauthVersionMax="47" xr10:uidLastSave="{00000000-0000-0000-0000-000000000000}"/>
  <bookViews>
    <workbookView xWindow="-120" yWindow="-120" windowWidth="29040" windowHeight="15840" xr2:uid="{083C231E-B8F8-4BFF-AC86-729C7DF36B40}"/>
  </bookViews>
  <sheets>
    <sheet name="Dashboard" sheetId="8" r:id="rId1"/>
    <sheet name="TotalScore" sheetId="12" r:id="rId2"/>
    <sheet name="AvgScore" sheetId="13" r:id="rId3"/>
    <sheet name="AvgChips" sheetId="14" r:id="rId4"/>
    <sheet name="AvgPutts" sheetId="15" r:id="rId5"/>
    <sheet name="AvgMistakes" sheetId="24" r:id="rId6"/>
    <sheet name="Data" sheetId="4" r:id="rId7"/>
    <sheet name="Codebook" sheetId="2" r:id="rId8"/>
  </sheets>
  <definedNames>
    <definedName name="_xlnm._FilterDatabase" localSheetId="7" hidden="1">Codebook!$A$1:$A$8</definedName>
    <definedName name="_xlnm._FilterDatabase" localSheetId="6" hidden="1">Data!$B$1:$B$127</definedName>
    <definedName name="ScoreSheet">OFFSET(Data!$A$1,0,0,COUNTA(Data!$A:$A),COUNTA(Data!$1:$1))</definedName>
  </definedNames>
  <calcPr calcId="191029"/>
  <pivotCaches>
    <pivotCache cacheId="1616" r:id="rId9"/>
    <pivotCache cacheId="162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4" i="4" l="1"/>
  <c r="H145" i="4"/>
  <c r="H4" i="24"/>
  <c r="H2" i="2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2" i="4"/>
  <c r="P6" i="15"/>
  <c r="P4" i="15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O4" i="14"/>
  <c r="O6" i="14"/>
  <c r="N4" i="12"/>
  <c r="N2" i="12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" i="15"/>
  <c r="D2" i="15"/>
  <c r="E19" i="14"/>
  <c r="D19" i="14"/>
  <c r="E18" i="14"/>
  <c r="D18" i="14"/>
  <c r="E17" i="14"/>
  <c r="D17" i="14"/>
  <c r="E16" i="14"/>
  <c r="D16" i="14"/>
  <c r="E15" i="14"/>
  <c r="D15" i="14"/>
  <c r="E14" i="14"/>
  <c r="D14" i="14"/>
  <c r="E13" i="14"/>
  <c r="D13" i="14"/>
  <c r="E12" i="14"/>
  <c r="D12" i="14"/>
  <c r="E11" i="14"/>
  <c r="D11" i="14"/>
  <c r="E10" i="14"/>
  <c r="D10" i="14"/>
  <c r="E9" i="14"/>
  <c r="D9" i="14"/>
  <c r="E8" i="14"/>
  <c r="D8" i="14"/>
  <c r="E7" i="14"/>
  <c r="D7" i="14"/>
  <c r="E6" i="14"/>
  <c r="D6" i="14"/>
  <c r="E5" i="14"/>
  <c r="D5" i="14"/>
  <c r="E4" i="14"/>
  <c r="D4" i="14"/>
  <c r="E3" i="14"/>
  <c r="D3" i="14"/>
  <c r="E2" i="14"/>
  <c r="D2" i="14"/>
  <c r="D19" i="13"/>
  <c r="I19" i="13" s="1"/>
  <c r="D18" i="13"/>
  <c r="I18" i="13" s="1"/>
  <c r="D17" i="13"/>
  <c r="G17" i="13" s="1"/>
  <c r="D16" i="13"/>
  <c r="H16" i="13" s="1"/>
  <c r="D15" i="13"/>
  <c r="I15" i="13" s="1"/>
  <c r="D14" i="13"/>
  <c r="I14" i="13" s="1"/>
  <c r="D13" i="13"/>
  <c r="I13" i="13" s="1"/>
  <c r="D12" i="13"/>
  <c r="H12" i="13" s="1"/>
  <c r="D11" i="13"/>
  <c r="I11" i="13" s="1"/>
  <c r="D10" i="13"/>
  <c r="I10" i="13" s="1"/>
  <c r="D9" i="13"/>
  <c r="I9" i="13" s="1"/>
  <c r="D8" i="13"/>
  <c r="I8" i="13" s="1"/>
  <c r="D7" i="13"/>
  <c r="H7" i="13" s="1"/>
  <c r="D6" i="13"/>
  <c r="I6" i="13" s="1"/>
  <c r="D5" i="13"/>
  <c r="F5" i="13" s="1"/>
  <c r="D4" i="13"/>
  <c r="H4" i="13" s="1"/>
  <c r="D3" i="13"/>
  <c r="I3" i="13" s="1"/>
  <c r="D2" i="13"/>
  <c r="I2" i="13" s="1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F2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E2" i="4"/>
  <c r="O8" i="14" l="1"/>
  <c r="H6" i="24"/>
  <c r="P8" i="15"/>
  <c r="P12" i="15" s="1"/>
  <c r="O12" i="14"/>
  <c r="N6" i="12"/>
  <c r="N10" i="12" s="1"/>
  <c r="G11" i="13"/>
  <c r="F13" i="13"/>
  <c r="H3" i="13"/>
  <c r="I7" i="13"/>
  <c r="H9" i="13"/>
  <c r="F3" i="13"/>
  <c r="F11" i="13"/>
  <c r="G5" i="13"/>
  <c r="H11" i="13"/>
  <c r="H5" i="13"/>
  <c r="F10" i="13"/>
  <c r="H13" i="13"/>
  <c r="I5" i="13"/>
  <c r="G10" i="13"/>
  <c r="H10" i="13"/>
  <c r="F15" i="13"/>
  <c r="F7" i="13"/>
  <c r="G16" i="13"/>
  <c r="I16" i="13"/>
  <c r="G8" i="13"/>
  <c r="G4" i="13"/>
  <c r="I4" i="13"/>
  <c r="F9" i="13"/>
  <c r="I12" i="13"/>
  <c r="H17" i="13"/>
  <c r="G3" i="13"/>
  <c r="F8" i="13"/>
  <c r="G15" i="13"/>
  <c r="I17" i="13"/>
  <c r="H15" i="13"/>
  <c r="F6" i="13"/>
  <c r="H8" i="13"/>
  <c r="G13" i="13"/>
  <c r="F18" i="13"/>
  <c r="G6" i="13"/>
  <c r="G18" i="13"/>
  <c r="F4" i="13"/>
  <c r="H6" i="13"/>
  <c r="F16" i="13"/>
  <c r="H18" i="13"/>
  <c r="F2" i="13"/>
  <c r="G9" i="13"/>
  <c r="F14" i="13"/>
  <c r="G2" i="13"/>
  <c r="G14" i="13"/>
  <c r="F19" i="13"/>
  <c r="H2" i="13"/>
  <c r="G7" i="13"/>
  <c r="F12" i="13"/>
  <c r="H14" i="13"/>
  <c r="G19" i="13"/>
  <c r="G12" i="13"/>
  <c r="F17" i="13"/>
  <c r="H19" i="13"/>
</calcChain>
</file>

<file path=xl/sharedStrings.xml><?xml version="1.0" encoding="utf-8"?>
<sst xmlns="http://schemas.openxmlformats.org/spreadsheetml/2006/main" count="119" uniqueCount="66">
  <si>
    <t>Date</t>
  </si>
  <si>
    <t>Par</t>
  </si>
  <si>
    <t>Hole</t>
  </si>
  <si>
    <t>Strokes</t>
  </si>
  <si>
    <t>Other</t>
  </si>
  <si>
    <t>Chips</t>
  </si>
  <si>
    <t>Putts</t>
  </si>
  <si>
    <t>Out of Bounds</t>
  </si>
  <si>
    <t>Bad Tee Shot</t>
  </si>
  <si>
    <t>Hazard</t>
  </si>
  <si>
    <t>H</t>
  </si>
  <si>
    <t>OB</t>
  </si>
  <si>
    <t>O</t>
  </si>
  <si>
    <t>D/H/I</t>
  </si>
  <si>
    <t>Name</t>
  </si>
  <si>
    <t>Code</t>
  </si>
  <si>
    <t>Mistakes</t>
  </si>
  <si>
    <t>Plus/Minus</t>
  </si>
  <si>
    <t>B</t>
  </si>
  <si>
    <t>Driver/Hybrid/Iron</t>
  </si>
  <si>
    <t>Tree</t>
  </si>
  <si>
    <t>TR</t>
  </si>
  <si>
    <t>TO</t>
  </si>
  <si>
    <t>Bunker</t>
  </si>
  <si>
    <t>1 or Less</t>
  </si>
  <si>
    <t>More than 1</t>
  </si>
  <si>
    <t>Row Labels</t>
  </si>
  <si>
    <t>Average of Chips</t>
  </si>
  <si>
    <t>Average of Putts</t>
  </si>
  <si>
    <t>Less than 1</t>
  </si>
  <si>
    <t>Between 1 and 2</t>
  </si>
  <si>
    <t>Between 2 and 3</t>
  </si>
  <si>
    <t>More than 3</t>
  </si>
  <si>
    <t xml:space="preserve">Par </t>
  </si>
  <si>
    <t xml:space="preserve">Average Strokes </t>
  </si>
  <si>
    <t>Average Score</t>
  </si>
  <si>
    <t>Number Times on Course</t>
  </si>
  <si>
    <t>Total Score</t>
  </si>
  <si>
    <t>Number of Holes</t>
  </si>
  <si>
    <t>Total Chips</t>
  </si>
  <si>
    <t>Average Number of Chips per Hole</t>
  </si>
  <si>
    <t>Total Number of Times on Course</t>
  </si>
  <si>
    <t>B, B</t>
  </si>
  <si>
    <t>Total Mistakes</t>
  </si>
  <si>
    <t>TR,B</t>
  </si>
  <si>
    <t>TO, TR</t>
  </si>
  <si>
    <t>TO,B</t>
  </si>
  <si>
    <t>TO, B</t>
  </si>
  <si>
    <t>H, B</t>
  </si>
  <si>
    <t>Total Putts</t>
  </si>
  <si>
    <t>Average Number of Putts per Hole</t>
  </si>
  <si>
    <t>Out of Bounds ( +2)</t>
  </si>
  <si>
    <t>Total Mistakes (+1)</t>
  </si>
  <si>
    <t>OB, OB,</t>
  </si>
  <si>
    <t>Mistakes (excluding OB)</t>
  </si>
  <si>
    <t>2 or Less</t>
  </si>
  <si>
    <t>More than 2</t>
  </si>
  <si>
    <t>Sum of Out of Bounds ( +2)</t>
  </si>
  <si>
    <t>Sum of Total Mistakes (+1)</t>
  </si>
  <si>
    <t>Sum of Total Mistakes</t>
  </si>
  <si>
    <t>Average Mistakes per Game</t>
  </si>
  <si>
    <t>Target Score</t>
  </si>
  <si>
    <t>Difference</t>
  </si>
  <si>
    <t>Target Value</t>
  </si>
  <si>
    <t xml:space="preserve">Total Score </t>
  </si>
  <si>
    <t xml:space="preserve">Target Score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</si>
</sst>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pivotButton="1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NumberFormat="1"/>
    <xf numFmtId="0" fontId="0" fillId="0" borderId="0" xfId="0" quotePrefix="1"/>
    <xf numFmtId="0" fontId="0" fillId="0" borderId="0" xfId="0" applyBorder="1"/>
    <xf numFmtId="0" fontId="1" fillId="0" borderId="0" xfId="0" applyFont="1" applyBorder="1"/>
    <xf numFmtId="17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18">
    <dxf>
      <numFmt numFmtId="164" formatCode=";;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10/relationships/person" Target="persons/person5.xml"/><Relationship Id="rId3" Type="http://schemas.openxmlformats.org/officeDocument/2006/relationships/worksheet" Target="worksheets/sheet3.xml"/><Relationship Id="rId21" Type="http://schemas.microsoft.com/office/2017/10/relationships/person" Target="persons/person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10/relationships/person" Target="persons/person0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20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17/10/relationships/person" Target="persons/person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23" Type="http://schemas.microsoft.com/office/2017/10/relationships/person" Target="persons/person7.xml"/><Relationship Id="rId10" Type="http://schemas.openxmlformats.org/officeDocument/2006/relationships/pivotCacheDefinition" Target="pivotCache/pivotCacheDefinition2.xml"/><Relationship Id="rId19" Type="http://schemas.microsoft.com/office/2017/10/relationships/person" Target="persons/pers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Relationship Id="rId22" Type="http://schemas.microsoft.com/office/2017/10/relationships/person" Target="persons/pers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2 or Less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AvgPutts!$C$2:$C$19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AvgPutts!$D$2:$D$19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1.875</c:v>
                </c:pt>
                <c:pt idx="4">
                  <c:v>0</c:v>
                </c:pt>
                <c:pt idx="5">
                  <c:v>0</c:v>
                </c:pt>
                <c:pt idx="6">
                  <c:v>1.875</c:v>
                </c:pt>
                <c:pt idx="7">
                  <c:v>0</c:v>
                </c:pt>
                <c:pt idx="8">
                  <c:v>1.875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3-4DA7-8CFE-A7C5969055B6}"/>
            </c:ext>
          </c:extLst>
        </c:ser>
        <c:ser>
          <c:idx val="1"/>
          <c:order val="1"/>
          <c:tx>
            <c:v>More than 2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AvgPutts!$C$2:$C$19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AvgPutts!$E$2:$E$19</c:f>
              <c:numCache>
                <c:formatCode>General</c:formatCode>
                <c:ptCount val="18"/>
                <c:pt idx="0">
                  <c:v>2.75</c:v>
                </c:pt>
                <c:pt idx="1">
                  <c:v>2.375</c:v>
                </c:pt>
                <c:pt idx="2">
                  <c:v>0</c:v>
                </c:pt>
                <c:pt idx="3">
                  <c:v>0</c:v>
                </c:pt>
                <c:pt idx="4">
                  <c:v>2.375</c:v>
                </c:pt>
                <c:pt idx="5">
                  <c:v>2.25</c:v>
                </c:pt>
                <c:pt idx="6">
                  <c:v>0</c:v>
                </c:pt>
                <c:pt idx="7">
                  <c:v>2.75</c:v>
                </c:pt>
                <c:pt idx="8">
                  <c:v>0</c:v>
                </c:pt>
                <c:pt idx="9">
                  <c:v>2.125</c:v>
                </c:pt>
                <c:pt idx="10">
                  <c:v>2.5</c:v>
                </c:pt>
                <c:pt idx="11">
                  <c:v>2.25</c:v>
                </c:pt>
                <c:pt idx="12">
                  <c:v>2.125</c:v>
                </c:pt>
                <c:pt idx="13">
                  <c:v>2.25</c:v>
                </c:pt>
                <c:pt idx="14">
                  <c:v>0</c:v>
                </c:pt>
                <c:pt idx="15">
                  <c:v>2.125</c:v>
                </c:pt>
                <c:pt idx="16">
                  <c:v>2.125</c:v>
                </c:pt>
                <c:pt idx="17">
                  <c:v>2.625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3-4DA7-8CFE-A7C59690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07225440"/>
        <c:axId val="1407210080"/>
      </c:barChart>
      <c:catAx>
        <c:axId val="14072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10080"/>
        <c:crosses val="autoZero"/>
        <c:auto val="1"/>
        <c:lblAlgn val="ctr"/>
        <c:lblOffset val="100"/>
        <c:noMultiLvlLbl val="0"/>
      </c:catAx>
      <c:valAx>
        <c:axId val="1407210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25440"/>
        <c:crosses val="autoZero"/>
        <c:crossBetween val="between"/>
      </c:valAx>
      <c:spPr>
        <a:noFill/>
        <a:ln>
          <a:solidFill>
            <a:schemeClr val="bg1">
              <a:alpha val="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70537879487680688"/>
          <c:y val="3.9175220139282133E-3"/>
          <c:w val="0.29356307373219442"/>
          <c:h val="8.323287955574536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1 or Less</c:v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AvgChips!$C$2:$C$19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AvgChips!$D$2:$D$19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0.875</c:v>
                </c:pt>
                <c:pt idx="4">
                  <c:v>1</c:v>
                </c:pt>
                <c:pt idx="5">
                  <c:v>0</c:v>
                </c:pt>
                <c:pt idx="6">
                  <c:v>0.75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C18-AE07-70E64DE26548}"/>
            </c:ext>
          </c:extLst>
        </c:ser>
        <c:ser>
          <c:idx val="1"/>
          <c:order val="1"/>
          <c:tx>
            <c:v>More than 1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AvgChips!$C$2:$C$19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AvgChips!$E$2:$E$19</c:f>
              <c:numCache>
                <c:formatCode>General</c:formatCode>
                <c:ptCount val="18"/>
                <c:pt idx="0">
                  <c:v>1.5</c:v>
                </c:pt>
                <c:pt idx="1">
                  <c:v>1.5</c:v>
                </c:pt>
                <c:pt idx="2">
                  <c:v>1.125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1.125</c:v>
                </c:pt>
                <c:pt idx="8">
                  <c:v>1.25</c:v>
                </c:pt>
                <c:pt idx="9">
                  <c:v>1.625</c:v>
                </c:pt>
                <c:pt idx="10">
                  <c:v>0</c:v>
                </c:pt>
                <c:pt idx="11">
                  <c:v>1.25</c:v>
                </c:pt>
                <c:pt idx="12">
                  <c:v>1.125</c:v>
                </c:pt>
                <c:pt idx="13">
                  <c:v>1.125</c:v>
                </c:pt>
                <c:pt idx="14">
                  <c:v>1.625</c:v>
                </c:pt>
                <c:pt idx="15">
                  <c:v>1.125</c:v>
                </c:pt>
                <c:pt idx="16">
                  <c:v>1.5</c:v>
                </c:pt>
                <c:pt idx="17">
                  <c:v>1.375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C18-AE07-70E64DE26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07219680"/>
        <c:axId val="1407222080"/>
      </c:barChart>
      <c:catAx>
        <c:axId val="140721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22080"/>
        <c:crosses val="autoZero"/>
        <c:auto val="1"/>
        <c:lblAlgn val="ctr"/>
        <c:lblOffset val="100"/>
        <c:noMultiLvlLbl val="0"/>
      </c:catAx>
      <c:valAx>
        <c:axId val="140722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1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433048993875766"/>
          <c:y val="5.7815689705449278E-4"/>
          <c:w val="0.3235612423447069"/>
          <c:h val="7.812554680664916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[Golf Stats.xlsm]TotalScore!PivotTable2</c:name>
    <c:fmtId val="29"/>
  </c:pivotSource>
  <c:chart>
    <c:autoTitleDeleted val="1"/>
    <c:pivotFmts>
      <c:pivotFmt>
        <c:idx val="0"/>
        <c:spPr>
          <a:solidFill>
            <a:schemeClr val="accent1"/>
          </a:solidFill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2225" cap="rnd">
            <a:solidFill>
              <a:schemeClr val="bg1">
                <a:lumMod val="65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2225" cap="rnd">
            <a:solidFill>
              <a:schemeClr val="bg1">
                <a:lumMod val="65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tx1"/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710518203987533E-2"/>
          <c:y val="0.1138696507852599"/>
          <c:w val="0.95562549460385771"/>
          <c:h val="0.77249143661307773"/>
        </c:manualLayout>
      </c:layout>
      <c:lineChart>
        <c:grouping val="standard"/>
        <c:varyColors val="0"/>
        <c:ser>
          <c:idx val="0"/>
          <c:order val="0"/>
          <c:tx>
            <c:strRef>
              <c:f>TotalScore!$B$2</c:f>
              <c:strCache>
                <c:ptCount val="1"/>
                <c:pt idx="0">
                  <c:v>Total Score </c:v>
                </c:pt>
              </c:strCache>
            </c:strRef>
          </c:tx>
          <c:spPr>
            <a:ln w="3492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TotalScore!$A$3:$A$10</c:f>
              <c:strCache>
                <c:ptCount val="8"/>
                <c:pt idx="0">
                  <c:v>1/23/2023</c:v>
                </c:pt>
                <c:pt idx="1">
                  <c:v>2/6/2023</c:v>
                </c:pt>
                <c:pt idx="2">
                  <c:v>2/14/2023</c:v>
                </c:pt>
                <c:pt idx="3">
                  <c:v>4/3/2023</c:v>
                </c:pt>
                <c:pt idx="4">
                  <c:v>4/17/2023</c:v>
                </c:pt>
                <c:pt idx="5">
                  <c:v>5/1/2023</c:v>
                </c:pt>
                <c:pt idx="6">
                  <c:v>5/22/2023</c:v>
                </c:pt>
                <c:pt idx="7">
                  <c:v>5/29/2023</c:v>
                </c:pt>
              </c:strCache>
            </c:strRef>
          </c:cat>
          <c:val>
            <c:numRef>
              <c:f>TotalScore!$B$3:$B$10</c:f>
              <c:numCache>
                <c:formatCode>General</c:formatCode>
                <c:ptCount val="8"/>
                <c:pt idx="0">
                  <c:v>117</c:v>
                </c:pt>
                <c:pt idx="1">
                  <c:v>116</c:v>
                </c:pt>
                <c:pt idx="2">
                  <c:v>121</c:v>
                </c:pt>
                <c:pt idx="3">
                  <c:v>114</c:v>
                </c:pt>
                <c:pt idx="4">
                  <c:v>115</c:v>
                </c:pt>
                <c:pt idx="5">
                  <c:v>114</c:v>
                </c:pt>
                <c:pt idx="6">
                  <c:v>122</c:v>
                </c:pt>
                <c:pt idx="7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64-4E3E-97A7-AD2FD6561120}"/>
            </c:ext>
          </c:extLst>
        </c:ser>
        <c:ser>
          <c:idx val="1"/>
          <c:order val="1"/>
          <c:tx>
            <c:strRef>
              <c:f>TotalScore!$C$2</c:f>
              <c:strCache>
                <c:ptCount val="1"/>
                <c:pt idx="0">
                  <c:v>Target Score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TotalScore!$A$3:$A$10</c:f>
              <c:strCache>
                <c:ptCount val="8"/>
                <c:pt idx="0">
                  <c:v>1/23/2023</c:v>
                </c:pt>
                <c:pt idx="1">
                  <c:v>2/6/2023</c:v>
                </c:pt>
                <c:pt idx="2">
                  <c:v>2/14/2023</c:v>
                </c:pt>
                <c:pt idx="3">
                  <c:v>4/3/2023</c:v>
                </c:pt>
                <c:pt idx="4">
                  <c:v>4/17/2023</c:v>
                </c:pt>
                <c:pt idx="5">
                  <c:v>5/1/2023</c:v>
                </c:pt>
                <c:pt idx="6">
                  <c:v>5/22/2023</c:v>
                </c:pt>
                <c:pt idx="7">
                  <c:v>5/29/2023</c:v>
                </c:pt>
              </c:strCache>
            </c:strRef>
          </c:cat>
          <c:val>
            <c:numRef>
              <c:f>TotalScore!$C$3:$C$10</c:f>
              <c:numCache>
                <c:formatCode>General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64-4E3E-97A7-AD2FD6561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220640"/>
        <c:axId val="1407221600"/>
      </c:lineChart>
      <c:catAx>
        <c:axId val="14072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21600"/>
        <c:crosses val="autoZero"/>
        <c:auto val="1"/>
        <c:lblAlgn val="ctr"/>
        <c:lblOffset val="100"/>
        <c:noMultiLvlLbl val="0"/>
      </c:catAx>
      <c:valAx>
        <c:axId val="1407221600"/>
        <c:scaling>
          <c:orientation val="minMax"/>
          <c:min val="9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2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223274036541126"/>
          <c:y val="1.5862357172706893E-3"/>
          <c:w val="0.19684069025770667"/>
          <c:h val="0.1530972850759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Between +1 and +2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AvgScore!$E$2:$E$19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AvgScore!$G$2:$G$19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A-487F-8301-85629D462390}"/>
            </c:ext>
          </c:extLst>
        </c:ser>
        <c:ser>
          <c:idx val="2"/>
          <c:order val="2"/>
          <c:tx>
            <c:v>Between +2 and +3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AvgScore!$E$2:$E$19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AvgScore!$H$2:$H$19</c:f>
              <c:numCache>
                <c:formatCode>General</c:formatCode>
                <c:ptCount val="18"/>
                <c:pt idx="0">
                  <c:v>0</c:v>
                </c:pt>
                <c:pt idx="1">
                  <c:v>2.5</c:v>
                </c:pt>
                <c:pt idx="2">
                  <c:v>2.25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2.375</c:v>
                </c:pt>
                <c:pt idx="7">
                  <c:v>2.25</c:v>
                </c:pt>
                <c:pt idx="8">
                  <c:v>2.875</c:v>
                </c:pt>
                <c:pt idx="9">
                  <c:v>0</c:v>
                </c:pt>
                <c:pt idx="10">
                  <c:v>0</c:v>
                </c:pt>
                <c:pt idx="11">
                  <c:v>2.875</c:v>
                </c:pt>
                <c:pt idx="12">
                  <c:v>2.625</c:v>
                </c:pt>
                <c:pt idx="13">
                  <c:v>2.25</c:v>
                </c:pt>
                <c:pt idx="14">
                  <c:v>2.5</c:v>
                </c:pt>
                <c:pt idx="15">
                  <c:v>0</c:v>
                </c:pt>
                <c:pt idx="16">
                  <c:v>2.5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A-487F-8301-85629D462390}"/>
            </c:ext>
          </c:extLst>
        </c:ser>
        <c:ser>
          <c:idx val="3"/>
          <c:order val="3"/>
          <c:tx>
            <c:v>More than +3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AvgScore!$E$2:$E$19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AvgScore!$I$2:$I$19</c:f>
              <c:numCache>
                <c:formatCode>General</c:formatCode>
                <c:ptCount val="18"/>
                <c:pt idx="0">
                  <c:v>3.625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3.375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3A-487F-8301-85629D462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15104816"/>
        <c:axId val="13150985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AvgScore!$E$2:$E$19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AvgScore!$F$2:$F$19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83A-487F-8301-85629D462390}"/>
                  </c:ext>
                </c:extLst>
              </c15:ser>
            </c15:filteredBarSeries>
          </c:ext>
        </c:extLst>
      </c:barChart>
      <c:catAx>
        <c:axId val="131510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098576"/>
        <c:crosses val="autoZero"/>
        <c:auto val="1"/>
        <c:lblAlgn val="ctr"/>
        <c:lblOffset val="100"/>
        <c:noMultiLvlLbl val="0"/>
      </c:catAx>
      <c:valAx>
        <c:axId val="1315098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10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445991573939691"/>
          <c:y val="3.9991015519825358E-3"/>
          <c:w val="0.31478100810353171"/>
          <c:h val="0.2600006335210379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[Golf Stats.xlsm]TotalScore!PivotTable2</c:name>
    <c:fmtId val="8"/>
  </c:pivotSource>
  <c:chart>
    <c:autoTitleDeleted val="1"/>
    <c:pivotFmts>
      <c:pivotFmt>
        <c:idx val="0"/>
        <c:spPr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tx1"/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TotalScore!$B$2</c:f>
              <c:strCache>
                <c:ptCount val="1"/>
                <c:pt idx="0">
                  <c:v>Total Score </c:v>
                </c:pt>
              </c:strCache>
            </c:strRef>
          </c:tx>
          <c:spPr>
            <a:ln w="3492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TotalScore!$A$3:$A$10</c:f>
              <c:strCache>
                <c:ptCount val="8"/>
                <c:pt idx="0">
                  <c:v>1/23/2023</c:v>
                </c:pt>
                <c:pt idx="1">
                  <c:v>2/6/2023</c:v>
                </c:pt>
                <c:pt idx="2">
                  <c:v>2/14/2023</c:v>
                </c:pt>
                <c:pt idx="3">
                  <c:v>4/3/2023</c:v>
                </c:pt>
                <c:pt idx="4">
                  <c:v>4/17/2023</c:v>
                </c:pt>
                <c:pt idx="5">
                  <c:v>5/1/2023</c:v>
                </c:pt>
                <c:pt idx="6">
                  <c:v>5/22/2023</c:v>
                </c:pt>
                <c:pt idx="7">
                  <c:v>5/29/2023</c:v>
                </c:pt>
              </c:strCache>
            </c:strRef>
          </c:cat>
          <c:val>
            <c:numRef>
              <c:f>TotalScore!$B$3:$B$10</c:f>
              <c:numCache>
                <c:formatCode>General</c:formatCode>
                <c:ptCount val="8"/>
                <c:pt idx="0">
                  <c:v>117</c:v>
                </c:pt>
                <c:pt idx="1">
                  <c:v>116</c:v>
                </c:pt>
                <c:pt idx="2">
                  <c:v>121</c:v>
                </c:pt>
                <c:pt idx="3">
                  <c:v>114</c:v>
                </c:pt>
                <c:pt idx="4">
                  <c:v>115</c:v>
                </c:pt>
                <c:pt idx="5">
                  <c:v>114</c:v>
                </c:pt>
                <c:pt idx="6">
                  <c:v>122</c:v>
                </c:pt>
                <c:pt idx="7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3C-48B9-B16A-A81875683963}"/>
            </c:ext>
          </c:extLst>
        </c:ser>
        <c:ser>
          <c:idx val="1"/>
          <c:order val="1"/>
          <c:tx>
            <c:strRef>
              <c:f>TotalScore!$C$2</c:f>
              <c:strCache>
                <c:ptCount val="1"/>
                <c:pt idx="0">
                  <c:v>Target Score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TotalScore!$A$3:$A$10</c:f>
              <c:strCache>
                <c:ptCount val="8"/>
                <c:pt idx="0">
                  <c:v>1/23/2023</c:v>
                </c:pt>
                <c:pt idx="1">
                  <c:v>2/6/2023</c:v>
                </c:pt>
                <c:pt idx="2">
                  <c:v>2/14/2023</c:v>
                </c:pt>
                <c:pt idx="3">
                  <c:v>4/3/2023</c:v>
                </c:pt>
                <c:pt idx="4">
                  <c:v>4/17/2023</c:v>
                </c:pt>
                <c:pt idx="5">
                  <c:v>5/1/2023</c:v>
                </c:pt>
                <c:pt idx="6">
                  <c:v>5/22/2023</c:v>
                </c:pt>
                <c:pt idx="7">
                  <c:v>5/29/2023</c:v>
                </c:pt>
              </c:strCache>
            </c:strRef>
          </c:cat>
          <c:val>
            <c:numRef>
              <c:f>TotalScore!$C$3:$C$10</c:f>
              <c:numCache>
                <c:formatCode>General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9-4899-8718-1B7DF9B1D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220640"/>
        <c:axId val="1407221600"/>
      </c:lineChart>
      <c:catAx>
        <c:axId val="14072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21600"/>
        <c:crosses val="autoZero"/>
        <c:auto val="1"/>
        <c:lblAlgn val="ctr"/>
        <c:lblOffset val="100"/>
        <c:noMultiLvlLbl val="0"/>
      </c:catAx>
      <c:valAx>
        <c:axId val="1407221600"/>
        <c:scaling>
          <c:orientation val="minMax"/>
          <c:min val="9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2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Between +1 and +2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AvgScore!$E$2:$E$19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AvgScore!$G$2:$G$19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A3-4277-A1EC-5183DE76FB8C}"/>
            </c:ext>
          </c:extLst>
        </c:ser>
        <c:ser>
          <c:idx val="2"/>
          <c:order val="2"/>
          <c:tx>
            <c:v>Between +2 and +3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AvgScore!$E$2:$E$19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AvgScore!$H$2:$H$19</c:f>
              <c:numCache>
                <c:formatCode>General</c:formatCode>
                <c:ptCount val="18"/>
                <c:pt idx="0">
                  <c:v>0</c:v>
                </c:pt>
                <c:pt idx="1">
                  <c:v>2.5</c:v>
                </c:pt>
                <c:pt idx="2">
                  <c:v>2.25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2.375</c:v>
                </c:pt>
                <c:pt idx="7">
                  <c:v>2.25</c:v>
                </c:pt>
                <c:pt idx="8">
                  <c:v>2.875</c:v>
                </c:pt>
                <c:pt idx="9">
                  <c:v>0</c:v>
                </c:pt>
                <c:pt idx="10">
                  <c:v>0</c:v>
                </c:pt>
                <c:pt idx="11">
                  <c:v>2.875</c:v>
                </c:pt>
                <c:pt idx="12">
                  <c:v>2.625</c:v>
                </c:pt>
                <c:pt idx="13">
                  <c:v>2.25</c:v>
                </c:pt>
                <c:pt idx="14">
                  <c:v>2.5</c:v>
                </c:pt>
                <c:pt idx="15">
                  <c:v>0</c:v>
                </c:pt>
                <c:pt idx="16">
                  <c:v>2.5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A3-4277-A1EC-5183DE76FB8C}"/>
            </c:ext>
          </c:extLst>
        </c:ser>
        <c:ser>
          <c:idx val="3"/>
          <c:order val="3"/>
          <c:tx>
            <c:v>More than +3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AvgScore!$E$2:$E$19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AvgScore!$I$2:$I$19</c:f>
              <c:numCache>
                <c:formatCode>General</c:formatCode>
                <c:ptCount val="18"/>
                <c:pt idx="0">
                  <c:v>3.625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3.375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A3-4277-A1EC-5183DE76F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15104816"/>
        <c:axId val="13150985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AvgScore!$E$2:$E$19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AvgScore!$F$2:$F$19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DA3-4277-A1EC-5183DE76FB8C}"/>
                  </c:ext>
                </c:extLst>
              </c15:ser>
            </c15:filteredBarSeries>
          </c:ext>
        </c:extLst>
      </c:barChart>
      <c:catAx>
        <c:axId val="131510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098576"/>
        <c:crosses val="autoZero"/>
        <c:auto val="1"/>
        <c:lblAlgn val="ctr"/>
        <c:lblOffset val="100"/>
        <c:noMultiLvlLbl val="0"/>
      </c:catAx>
      <c:valAx>
        <c:axId val="1315098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10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1 or Less</c:v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cat>
            <c:numRef>
              <c:f>AvgChips!$C$2:$C$19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AvgChips!$D$2:$D$19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0.875</c:v>
                </c:pt>
                <c:pt idx="4">
                  <c:v>1</c:v>
                </c:pt>
                <c:pt idx="5">
                  <c:v>0</c:v>
                </c:pt>
                <c:pt idx="6">
                  <c:v>0.75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E-4AF7-95FB-7DD37A9BE264}"/>
            </c:ext>
          </c:extLst>
        </c:ser>
        <c:ser>
          <c:idx val="1"/>
          <c:order val="1"/>
          <c:tx>
            <c:v>More than 1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AvgChips!$C$2:$C$19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AvgChips!$E$2:$E$19</c:f>
              <c:numCache>
                <c:formatCode>General</c:formatCode>
                <c:ptCount val="18"/>
                <c:pt idx="0">
                  <c:v>1.5</c:v>
                </c:pt>
                <c:pt idx="1">
                  <c:v>1.5</c:v>
                </c:pt>
                <c:pt idx="2">
                  <c:v>1.125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1.125</c:v>
                </c:pt>
                <c:pt idx="8">
                  <c:v>1.25</c:v>
                </c:pt>
                <c:pt idx="9">
                  <c:v>1.625</c:v>
                </c:pt>
                <c:pt idx="10">
                  <c:v>0</c:v>
                </c:pt>
                <c:pt idx="11">
                  <c:v>1.25</c:v>
                </c:pt>
                <c:pt idx="12">
                  <c:v>1.125</c:v>
                </c:pt>
                <c:pt idx="13">
                  <c:v>1.125</c:v>
                </c:pt>
                <c:pt idx="14">
                  <c:v>1.625</c:v>
                </c:pt>
                <c:pt idx="15">
                  <c:v>1.125</c:v>
                </c:pt>
                <c:pt idx="16">
                  <c:v>1.5</c:v>
                </c:pt>
                <c:pt idx="17">
                  <c:v>1.375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8E-4AF7-95FB-7DD37A9B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07219680"/>
        <c:axId val="1407222080"/>
      </c:barChart>
      <c:catAx>
        <c:axId val="140721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22080"/>
        <c:crosses val="autoZero"/>
        <c:auto val="1"/>
        <c:lblAlgn val="ctr"/>
        <c:lblOffset val="100"/>
        <c:noMultiLvlLbl val="0"/>
      </c:catAx>
      <c:valAx>
        <c:axId val="140722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1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433048993875766"/>
          <c:y val="5.7815689705449278E-4"/>
          <c:w val="0.3235612423447069"/>
          <c:h val="7.812554680664916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2 or Less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AvgPutts!$C$2:$C$19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AvgPutts!$D$2:$D$19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1.875</c:v>
                </c:pt>
                <c:pt idx="4">
                  <c:v>0</c:v>
                </c:pt>
                <c:pt idx="5">
                  <c:v>0</c:v>
                </c:pt>
                <c:pt idx="6">
                  <c:v>1.875</c:v>
                </c:pt>
                <c:pt idx="7">
                  <c:v>0</c:v>
                </c:pt>
                <c:pt idx="8">
                  <c:v>1.875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5-4E1F-B900-7EAF32312A72}"/>
            </c:ext>
          </c:extLst>
        </c:ser>
        <c:ser>
          <c:idx val="1"/>
          <c:order val="1"/>
          <c:tx>
            <c:v>More than 2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AvgPutts!$C$2:$C$19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AvgPutts!$E$2:$E$19</c:f>
              <c:numCache>
                <c:formatCode>General</c:formatCode>
                <c:ptCount val="18"/>
                <c:pt idx="0">
                  <c:v>2.75</c:v>
                </c:pt>
                <c:pt idx="1">
                  <c:v>2.375</c:v>
                </c:pt>
                <c:pt idx="2">
                  <c:v>0</c:v>
                </c:pt>
                <c:pt idx="3">
                  <c:v>0</c:v>
                </c:pt>
                <c:pt idx="4">
                  <c:v>2.375</c:v>
                </c:pt>
                <c:pt idx="5">
                  <c:v>2.25</c:v>
                </c:pt>
                <c:pt idx="6">
                  <c:v>0</c:v>
                </c:pt>
                <c:pt idx="7">
                  <c:v>2.75</c:v>
                </c:pt>
                <c:pt idx="8">
                  <c:v>0</c:v>
                </c:pt>
                <c:pt idx="9">
                  <c:v>2.125</c:v>
                </c:pt>
                <c:pt idx="10">
                  <c:v>2.5</c:v>
                </c:pt>
                <c:pt idx="11">
                  <c:v>2.25</c:v>
                </c:pt>
                <c:pt idx="12">
                  <c:v>2.125</c:v>
                </c:pt>
                <c:pt idx="13">
                  <c:v>2.25</c:v>
                </c:pt>
                <c:pt idx="14">
                  <c:v>0</c:v>
                </c:pt>
                <c:pt idx="15">
                  <c:v>2.125</c:v>
                </c:pt>
                <c:pt idx="16">
                  <c:v>2.125</c:v>
                </c:pt>
                <c:pt idx="17">
                  <c:v>2.625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95-4E1F-B900-7EAF32312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07225440"/>
        <c:axId val="1407210080"/>
      </c:barChart>
      <c:catAx>
        <c:axId val="14072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10080"/>
        <c:crosses val="autoZero"/>
        <c:auto val="1"/>
        <c:lblAlgn val="ctr"/>
        <c:lblOffset val="100"/>
        <c:noMultiLvlLbl val="0"/>
      </c:catAx>
      <c:valAx>
        <c:axId val="1407210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200024</xdr:colOff>
      <xdr:row>1</xdr:row>
      <xdr:rowOff>38098</xdr:rowOff>
    </xdr:from>
    <xdr:to>
      <xdr:col>14</xdr:col>
      <xdr:colOff>0</xdr:colOff>
      <xdr:row>8</xdr:row>
      <xdr:rowOff>29307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286E1B0-B185-7A63-1C57-A5D66C454D88}"/>
            </a:ext>
          </a:extLst>
        </xdr:cNvPr>
        <xdr:cNvSpPr/>
      </xdr:nvSpPr>
      <xdr:spPr>
        <a:xfrm>
          <a:off x="200024" y="228598"/>
          <a:ext cx="13765091" cy="1324709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000" b="1">
              <a:solidFill>
                <a:sysClr val="windowText" lastClr="000000"/>
              </a:solidFill>
            </a:rPr>
            <a:t>Golf</a:t>
          </a:r>
          <a:r>
            <a:rPr lang="en-US" sz="4000" b="1" baseline="0">
              <a:solidFill>
                <a:sysClr val="windowText" lastClr="000000"/>
              </a:solidFill>
            </a:rPr>
            <a:t> Performance Dashboard: Janurary 2023 - Present</a:t>
          </a:r>
        </a:p>
        <a:p>
          <a:pPr algn="l"/>
          <a:r>
            <a:rPr lang="en-US" sz="2500" b="0" baseline="0">
              <a:solidFill>
                <a:sysClr val="windowText" lastClr="000000"/>
              </a:solidFill>
            </a:rPr>
            <a:t>General Old Golf Course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 </a:t>
          </a:r>
        </a:p>
      </xdr:txBody>
    </xdr:sp>
    <xdr:clientData/>
  </xdr:twoCellAnchor>
  <xdr:twoCellAnchor editAs="absolute">
    <xdr:from>
      <xdr:col>0</xdr:col>
      <xdr:colOff>200023</xdr:colOff>
      <xdr:row>9</xdr:row>
      <xdr:rowOff>160462</xdr:rowOff>
    </xdr:from>
    <xdr:to>
      <xdr:col>1</xdr:col>
      <xdr:colOff>1442358</xdr:colOff>
      <xdr:row>19</xdr:row>
      <xdr:rowOff>179512</xdr:rowOff>
    </xdr:to>
    <xdr:sp macro="" textlink="TotalScore!N6">
      <xdr:nvSpPr>
        <xdr:cNvPr id="3" name="Rectangle: Rounded Corners 2">
          <a:extLst>
            <a:ext uri="{FF2B5EF4-FFF2-40B4-BE49-F238E27FC236}">
              <a16:creationId xmlns:a16="http://schemas.microsoft.com/office/drawing/2014/main" id="{EFBDB902-3090-CDA3-626C-BECC39145D88}"/>
            </a:ext>
          </a:extLst>
        </xdr:cNvPr>
        <xdr:cNvSpPr/>
      </xdr:nvSpPr>
      <xdr:spPr>
        <a:xfrm>
          <a:off x="200023" y="1874962"/>
          <a:ext cx="3132681" cy="192405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5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Average Score</a:t>
          </a:r>
        </a:p>
        <a:p>
          <a:pPr algn="l"/>
          <a:r>
            <a:rPr lang="en-US" sz="2500" b="1" i="0" u="none" strike="noStrike" baseline="0">
              <a:solidFill>
                <a:srgbClr val="000000"/>
              </a:solidFill>
              <a:latin typeface="Calibri"/>
              <a:cs typeface="Calibri"/>
            </a:rPr>
            <a:t> </a:t>
          </a:r>
          <a:endParaRPr lang="en-US" sz="1000" b="1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/>
          <a:fld id="{5A6CF38E-D9BB-4FA7-8977-9FAFDFE3C91A}" type="TxLink">
            <a:rPr lang="en-US" sz="4800" b="1" i="0" u="none" strike="noStrike" baseline="0">
              <a:solidFill>
                <a:srgbClr val="000000"/>
              </a:solidFill>
              <a:latin typeface="Calibri"/>
              <a:cs typeface="Calibri"/>
            </a:rPr>
            <a:pPr algn="ctr"/>
            <a:t>117.63</a:t>
          </a:fld>
          <a:endParaRPr lang="en-US" sz="4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200024</xdr:colOff>
      <xdr:row>21</xdr:row>
      <xdr:rowOff>117231</xdr:rowOff>
    </xdr:from>
    <xdr:to>
      <xdr:col>14</xdr:col>
      <xdr:colOff>13608</xdr:colOff>
      <xdr:row>59</xdr:row>
      <xdr:rowOff>52512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B2670D67-A5BA-83A7-5A4C-8C82A89E936C}"/>
            </a:ext>
          </a:extLst>
        </xdr:cNvPr>
        <xdr:cNvSpPr/>
      </xdr:nvSpPr>
      <xdr:spPr>
        <a:xfrm>
          <a:off x="200024" y="4117731"/>
          <a:ext cx="13778699" cy="7174281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500" b="1" baseline="0">
              <a:solidFill>
                <a:sysClr val="windowText" lastClr="000000"/>
              </a:solidFill>
            </a:rPr>
            <a:t>Score Trend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14</xdr:col>
      <xdr:colOff>452002</xdr:colOff>
      <xdr:row>41</xdr:row>
      <xdr:rowOff>8335</xdr:rowOff>
    </xdr:from>
    <xdr:to>
      <xdr:col>25</xdr:col>
      <xdr:colOff>163285</xdr:colOff>
      <xdr:row>58</xdr:row>
      <xdr:rowOff>187629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5D33385-1806-9A6D-9CBD-7F8DC7B718AE}"/>
            </a:ext>
          </a:extLst>
        </xdr:cNvPr>
        <xdr:cNvSpPr/>
      </xdr:nvSpPr>
      <xdr:spPr>
        <a:xfrm>
          <a:off x="14417117" y="7818835"/>
          <a:ext cx="6481360" cy="3417794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500" b="1">
              <a:solidFill>
                <a:sysClr val="windowText" lastClr="000000"/>
              </a:solidFill>
            </a:rPr>
            <a:t>Putts</a:t>
          </a:r>
          <a:r>
            <a:rPr lang="en-US" sz="2500" b="1" baseline="0">
              <a:solidFill>
                <a:sysClr val="windowText" lastClr="000000"/>
              </a:solidFill>
            </a:rPr>
            <a:t> per Hole</a:t>
          </a:r>
          <a:endParaRPr lang="en-US" sz="2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14</xdr:col>
      <xdr:colOff>452003</xdr:colOff>
      <xdr:row>21</xdr:row>
      <xdr:rowOff>34978</xdr:rowOff>
    </xdr:from>
    <xdr:to>
      <xdr:col>25</xdr:col>
      <xdr:colOff>81643</xdr:colOff>
      <xdr:row>39</xdr:row>
      <xdr:rowOff>23772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93EAAF75-40C2-9915-DECE-9EBE4E1D66A7}"/>
            </a:ext>
          </a:extLst>
        </xdr:cNvPr>
        <xdr:cNvSpPr/>
      </xdr:nvSpPr>
      <xdr:spPr>
        <a:xfrm>
          <a:off x="14417118" y="4035478"/>
          <a:ext cx="6399717" cy="3417794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500" b="1">
              <a:solidFill>
                <a:sysClr val="windowText" lastClr="000000"/>
              </a:solidFill>
            </a:rPr>
            <a:t>Chips per Hole</a:t>
          </a:r>
          <a:endParaRPr lang="en-US" sz="2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15</xdr:col>
      <xdr:colOff>13606</xdr:colOff>
      <xdr:row>44</xdr:row>
      <xdr:rowOff>49024</xdr:rowOff>
    </xdr:from>
    <xdr:to>
      <xdr:col>25</xdr:col>
      <xdr:colOff>54429</xdr:colOff>
      <xdr:row>58</xdr:row>
      <xdr:rowOff>49024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5630B1F-32E0-4AEE-80AC-6F9E29E5EB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517072</xdr:colOff>
      <xdr:row>24</xdr:row>
      <xdr:rowOff>106591</xdr:rowOff>
    </xdr:from>
    <xdr:to>
      <xdr:col>24</xdr:col>
      <xdr:colOff>585107</xdr:colOff>
      <xdr:row>38</xdr:row>
      <xdr:rowOff>24949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8FE3CC2D-8252-4B36-9A79-F24D8DB88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159202</xdr:colOff>
      <xdr:row>9</xdr:row>
      <xdr:rowOff>160462</xdr:rowOff>
    </xdr:from>
    <xdr:to>
      <xdr:col>4</xdr:col>
      <xdr:colOff>27216</xdr:colOff>
      <xdr:row>19</xdr:row>
      <xdr:rowOff>179512</xdr:rowOff>
    </xdr:to>
    <xdr:sp macro="" textlink="AvgChips!$O$8">
      <xdr:nvSpPr>
        <xdr:cNvPr id="38" name="Rectangle: Rounded Corners 37">
          <a:extLst>
            <a:ext uri="{FF2B5EF4-FFF2-40B4-BE49-F238E27FC236}">
              <a16:creationId xmlns:a16="http://schemas.microsoft.com/office/drawing/2014/main" id="{B089F62C-7555-9E83-696D-8AFDC38CBA32}"/>
            </a:ext>
          </a:extLst>
        </xdr:cNvPr>
        <xdr:cNvSpPr/>
      </xdr:nvSpPr>
      <xdr:spPr>
        <a:xfrm>
          <a:off x="3690779" y="1874962"/>
          <a:ext cx="3135822" cy="192405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5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Average Number of Chips per Hole</a:t>
          </a:r>
          <a:endParaRPr lang="en-US" sz="1000" b="1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/>
          <a:fld id="{69E40ECD-76E9-4B07-B682-42ED1F24BD0A}" type="TxLink">
            <a:rPr lang="en-US" sz="4800" b="1" i="0" u="none" strike="noStrike" baseline="0">
              <a:solidFill>
                <a:srgbClr val="000000"/>
              </a:solidFill>
              <a:latin typeface="Calibri"/>
              <a:cs typeface="Calibri"/>
            </a:rPr>
            <a:pPr algn="ctr"/>
            <a:t>1.26</a:t>
          </a:fld>
          <a:endParaRPr lang="en-US" sz="4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417737</xdr:colOff>
      <xdr:row>9</xdr:row>
      <xdr:rowOff>160462</xdr:rowOff>
    </xdr:from>
    <xdr:to>
      <xdr:col>8</xdr:col>
      <xdr:colOff>95250</xdr:colOff>
      <xdr:row>19</xdr:row>
      <xdr:rowOff>179512</xdr:rowOff>
    </xdr:to>
    <xdr:sp macro="" textlink="AvgPutts!P8">
      <xdr:nvSpPr>
        <xdr:cNvPr id="39" name="Rectangle: Rounded Corners 38">
          <a:extLst>
            <a:ext uri="{FF2B5EF4-FFF2-40B4-BE49-F238E27FC236}">
              <a16:creationId xmlns:a16="http://schemas.microsoft.com/office/drawing/2014/main" id="{FE9F93A6-0B97-F56D-2FDC-088C62C6F7FE}"/>
            </a:ext>
          </a:extLst>
        </xdr:cNvPr>
        <xdr:cNvSpPr/>
      </xdr:nvSpPr>
      <xdr:spPr>
        <a:xfrm>
          <a:off x="7217122" y="1874962"/>
          <a:ext cx="3150474" cy="192405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5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Average Number of Putts per Hole</a:t>
          </a:r>
          <a:endParaRPr lang="en-US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/>
          <a:fld id="{C5653BBE-8245-47EF-86FE-F9FD65794F06}" type="TxLink">
            <a:rPr lang="en-US" sz="4800" b="1" i="0" u="none" strike="noStrike" baseline="0">
              <a:solidFill>
                <a:srgbClr val="000000"/>
              </a:solidFill>
              <a:latin typeface="Calibri"/>
              <a:cs typeface="Calibri"/>
            </a:rPr>
            <a:pPr algn="ctr"/>
            <a:t>2.24</a:t>
          </a:fld>
          <a:endParaRPr lang="en-US" sz="4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8</xdr:col>
      <xdr:colOff>526594</xdr:colOff>
      <xdr:row>9</xdr:row>
      <xdr:rowOff>160462</xdr:rowOff>
    </xdr:from>
    <xdr:to>
      <xdr:col>13</xdr:col>
      <xdr:colOff>598715</xdr:colOff>
      <xdr:row>19</xdr:row>
      <xdr:rowOff>179512</xdr:rowOff>
    </xdr:to>
    <xdr:sp macro="" textlink="AvgMistakes!H6">
      <xdr:nvSpPr>
        <xdr:cNvPr id="40" name="Rectangle: Rounded Corners 39">
          <a:extLst>
            <a:ext uri="{FF2B5EF4-FFF2-40B4-BE49-F238E27FC236}">
              <a16:creationId xmlns:a16="http://schemas.microsoft.com/office/drawing/2014/main" id="{57EA75B6-FCC5-94D3-5A5F-5572C77822E8}"/>
            </a:ext>
          </a:extLst>
        </xdr:cNvPr>
        <xdr:cNvSpPr/>
      </xdr:nvSpPr>
      <xdr:spPr>
        <a:xfrm>
          <a:off x="10798940" y="1874962"/>
          <a:ext cx="3149429" cy="192405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5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Average Number of Mistakes per Game</a:t>
          </a:r>
        </a:p>
        <a:p>
          <a:pPr algn="ctr"/>
          <a:fld id="{4ED29B7A-9E99-433A-9B17-CB1D3167BB6F}" type="TxLink">
            <a:rPr lang="en-US" sz="4800" b="1" i="0" u="none" strike="noStrike" baseline="0">
              <a:solidFill>
                <a:srgbClr val="000000"/>
              </a:solidFill>
              <a:latin typeface="Calibri"/>
              <a:cs typeface="Calibri"/>
            </a:rPr>
            <a:pPr algn="ctr"/>
            <a:t>7.25</a:t>
          </a:fld>
          <a:endParaRPr lang="en-US" sz="4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299357</xdr:colOff>
      <xdr:row>23</xdr:row>
      <xdr:rowOff>36637</xdr:rowOff>
    </xdr:from>
    <xdr:to>
      <xdr:col>13</xdr:col>
      <xdr:colOff>396875</xdr:colOff>
      <xdr:row>59</xdr:row>
      <xdr:rowOff>52512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D0D850AA-F1BB-4C5F-A149-7A5ECD1DD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14</xdr:col>
      <xdr:colOff>452003</xdr:colOff>
      <xdr:row>1</xdr:row>
      <xdr:rowOff>19101</xdr:rowOff>
    </xdr:from>
    <xdr:to>
      <xdr:col>25</xdr:col>
      <xdr:colOff>81643</xdr:colOff>
      <xdr:row>19</xdr:row>
      <xdr:rowOff>7895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D201CAB-587D-2610-41BD-3E35F545B1FB}"/>
            </a:ext>
          </a:extLst>
        </xdr:cNvPr>
        <xdr:cNvSpPr/>
      </xdr:nvSpPr>
      <xdr:spPr>
        <a:xfrm>
          <a:off x="14310878" y="209601"/>
          <a:ext cx="6265390" cy="3417794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500" b="1">
              <a:solidFill>
                <a:sysClr val="windowText" lastClr="000000"/>
              </a:solidFill>
            </a:rPr>
            <a:t>Difference </a:t>
          </a:r>
          <a:r>
            <a:rPr lang="en-US" sz="2500" b="1" baseline="0">
              <a:solidFill>
                <a:sysClr val="windowText" lastClr="000000"/>
              </a:solidFill>
            </a:rPr>
            <a:t>from Par per Hole</a:t>
          </a:r>
          <a:endParaRPr lang="en-US" sz="25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14</xdr:col>
      <xdr:colOff>452002</xdr:colOff>
      <xdr:row>4</xdr:row>
      <xdr:rowOff>0</xdr:rowOff>
    </xdr:from>
    <xdr:to>
      <xdr:col>25</xdr:col>
      <xdr:colOff>31749</xdr:colOff>
      <xdr:row>18</xdr:row>
      <xdr:rowOff>111124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7D5AC14-1B6F-4D48-8D07-5B1EA5067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90487</xdr:colOff>
      <xdr:row>1</xdr:row>
      <xdr:rowOff>23812</xdr:rowOff>
    </xdr:from>
    <xdr:to>
      <xdr:col>11</xdr:col>
      <xdr:colOff>561975</xdr:colOff>
      <xdr:row>14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11BE00-E7C4-EF58-C029-228B95357F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138112</xdr:colOff>
      <xdr:row>3</xdr:row>
      <xdr:rowOff>128587</xdr:rowOff>
    </xdr:from>
    <xdr:to>
      <xdr:col>16</xdr:col>
      <xdr:colOff>442912</xdr:colOff>
      <xdr:row>18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FEC16E-BA93-F3A5-9989-836CB3B2E6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128587</xdr:colOff>
      <xdr:row>3</xdr:row>
      <xdr:rowOff>61912</xdr:rowOff>
    </xdr:from>
    <xdr:to>
      <xdr:col>13</xdr:col>
      <xdr:colOff>433387</xdr:colOff>
      <xdr:row>17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3C78BF-675F-4B41-3C2A-D82384D050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333375</xdr:colOff>
      <xdr:row>3</xdr:row>
      <xdr:rowOff>166687</xdr:rowOff>
    </xdr:from>
    <xdr:to>
      <xdr:col>14</xdr:col>
      <xdr:colOff>28575</xdr:colOff>
      <xdr:row>18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F96931-4F93-C314-78D6-B365B717F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e Kim" refreshedDate="45090.000094444447" createdVersion="8" refreshedVersion="8" minRefreshableVersion="3" recordCount="162" xr:uid="{C821CF49-7F8C-4AD4-B8A9-3B766F2A8DBD}">
  <cacheSource type="worksheet">
    <worksheetSource ref="A1:L1048576" sheet="Data"/>
  </cacheSource>
  <cacheFields count="13">
    <cacheField name="Date" numFmtId="0">
      <sharedItems containsNonDate="0" containsDate="1" containsString="0" containsBlank="1" minDate="2023-01-23T00:00:00" maxDate="2023-05-30T00:00:00"/>
    </cacheField>
    <cacheField name="Hole" numFmtId="0">
      <sharedItems containsString="0" containsBlank="1" containsNumber="1" containsInteger="1" minValue="1" maxValue="18" count="1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m/>
      </sharedItems>
    </cacheField>
    <cacheField name="Par" numFmtId="0">
      <sharedItems containsString="0" containsBlank="1" containsNumber="1" containsInteger="1" minValue="3" maxValue="5"/>
    </cacheField>
    <cacheField name="Strokes" numFmtId="0">
      <sharedItems containsString="0" containsBlank="1" containsNumber="1" containsInteger="1" minValue="3" maxValue="11"/>
    </cacheField>
    <cacheField name="Plus/Minus" numFmtId="0">
      <sharedItems containsString="0" containsBlank="1" containsNumber="1" containsInteger="1" minValue="0" maxValue="6"/>
    </cacheField>
    <cacheField name="D/H/I" numFmtId="0">
      <sharedItems containsString="0" containsBlank="1" containsNumber="1" containsInteger="1" minValue="1" maxValue="7"/>
    </cacheField>
    <cacheField name="Mistakes (excluding OB)" numFmtId="0">
      <sharedItems containsBlank="1"/>
    </cacheField>
    <cacheField name="Total Mistakes (+1)" numFmtId="0">
      <sharedItems containsBlank="1" containsMixedTypes="1" containsNumber="1" containsInteger="1" minValue="1" maxValue="2"/>
    </cacheField>
    <cacheField name="Mistakes" numFmtId="0">
      <sharedItems containsBlank="1"/>
    </cacheField>
    <cacheField name="Out of Bounds ( +2)" numFmtId="0">
      <sharedItems containsBlank="1" containsMixedTypes="1" containsNumber="1" containsInteger="1" minValue="2" maxValue="4"/>
    </cacheField>
    <cacheField name="Chips" numFmtId="0">
      <sharedItems containsString="0" containsBlank="1" containsNumber="1" containsInteger="1" minValue="0" maxValue="4"/>
    </cacheField>
    <cacheField name="Putts" numFmtId="0">
      <sharedItems containsString="0" containsBlank="1" containsNumber="1" containsInteger="1" minValue="1" maxValue="5"/>
    </cacheField>
    <cacheField name="Average Strokes" numFmtId="0" formula="Strokes/COUNT(Date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e Kim" refreshedDate="45090.000094560186" createdVersion="8" refreshedVersion="8" minRefreshableVersion="3" recordCount="144" xr:uid="{0E4069A8-F41B-4FCB-B984-A0379A6C6CAC}">
  <cacheSource type="worksheet">
    <worksheetSource name="ScoreSheet"/>
  </cacheSource>
  <cacheFields count="16">
    <cacheField name="Date" numFmtId="14">
      <sharedItems containsSemiMixedTypes="0" containsNonDate="0" containsDate="1" containsString="0" minDate="2023-01-23T00:00:00" maxDate="2023-07-23T00:00:00" count="14">
        <d v="2023-01-23T00:00:00"/>
        <d v="2023-02-06T00:00:00"/>
        <d v="2023-02-14T00:00:00"/>
        <d v="2023-04-03T00:00:00"/>
        <d v="2023-04-17T00:00:00"/>
        <d v="2023-05-01T00:00:00"/>
        <d v="2023-05-22T00:00:00"/>
        <d v="2023-05-29T00:00:00"/>
        <d v="2023-05-31T00:00:00" u="1"/>
        <d v="2023-07-22T00:00:00" u="1"/>
        <d v="2023-06-22T00:00:00" u="1"/>
        <d v="2023-06-01T00:00:00" u="1"/>
        <d v="2023-06-20T00:00:00" u="1"/>
        <d v="2023-06-11T00:00:00" u="1"/>
      </sharedItems>
      <fieldGroup par="13"/>
    </cacheField>
    <cacheField name="Hole" numFmtId="0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</cacheField>
    <cacheField name="Par" numFmtId="0">
      <sharedItems containsSemiMixedTypes="0" containsString="0" containsNumber="1" containsInteger="1" minValue="3" maxValue="5"/>
    </cacheField>
    <cacheField name="Strokes" numFmtId="0">
      <sharedItems containsSemiMixedTypes="0" containsString="0" containsNumber="1" containsInteger="1" minValue="3" maxValue="11"/>
    </cacheField>
    <cacheField name="Plus/Minus" numFmtId="0">
      <sharedItems containsSemiMixedTypes="0" containsString="0" containsNumber="1" containsInteger="1" minValue="0" maxValue="6"/>
    </cacheField>
    <cacheField name="D/H/I" numFmtId="0">
      <sharedItems containsSemiMixedTypes="0" containsString="0" containsNumber="1" containsInteger="1" minValue="1" maxValue="7"/>
    </cacheField>
    <cacheField name="Mistakes (excluding OB)" numFmtId="0">
      <sharedItems containsBlank="1"/>
    </cacheField>
    <cacheField name="Total Mistakes (+1)" numFmtId="0">
      <sharedItems containsMixedTypes="1" containsNumber="1" containsInteger="1" minValue="1" maxValue="2"/>
    </cacheField>
    <cacheField name="Mistakes" numFmtId="0">
      <sharedItems containsBlank="1"/>
    </cacheField>
    <cacheField name="Out of Bounds ( +2)" numFmtId="0">
      <sharedItems containsMixedTypes="1" containsNumber="1" containsInteger="1" minValue="2" maxValue="4"/>
    </cacheField>
    <cacheField name="Chips" numFmtId="0">
      <sharedItems containsSemiMixedTypes="0" containsString="0" containsNumber="1" containsInteger="1" minValue="0" maxValue="4"/>
    </cacheField>
    <cacheField name="Putts" numFmtId="0">
      <sharedItems containsSemiMixedTypes="0" containsString="0" containsNumber="1" containsInteger="1" minValue="1" maxValue="5"/>
    </cacheField>
    <cacheField name="Days (Date)" numFmtId="0" databaseField="0">
      <fieldGroup base="0">
        <rangePr groupBy="days" startDate="2023-01-23T00:00:00" endDate="2023-05-30T00:00:00"/>
        <groupItems count="368">
          <s v="&lt;1/23/2023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30/2023"/>
        </groupItems>
      </fieldGroup>
    </cacheField>
    <cacheField name="Months (Date)" numFmtId="0" databaseField="0">
      <fieldGroup base="0">
        <rangePr groupBy="months" startDate="2023-01-23T00:00:00" endDate="2023-05-30T00:00:00"/>
        <groupItems count="14">
          <s v="&lt;1/23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0/2023"/>
        </groupItems>
      </fieldGroup>
    </cacheField>
    <cacheField name="Total Mistakes" numFmtId="0" formula="'Out of Bounds ( +2)' +'Total Mistakes (+1)'" databaseField="0"/>
    <cacheField name="Target" numFmtId="0" formula="1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">
  <r>
    <d v="2023-01-23T00:00:00"/>
    <x v="0"/>
    <n v="5"/>
    <n v="9"/>
    <n v="4"/>
    <n v="5"/>
    <s v="O"/>
    <n v="1"/>
    <m/>
    <s v=""/>
    <n v="1"/>
    <n v="3"/>
  </r>
  <r>
    <d v="2023-01-23T00:00:00"/>
    <x v="1"/>
    <n v="3"/>
    <n v="4"/>
    <n v="1"/>
    <n v="1"/>
    <m/>
    <s v=""/>
    <m/>
    <s v=""/>
    <n v="1"/>
    <n v="2"/>
  </r>
  <r>
    <d v="2023-01-23T00:00:00"/>
    <x v="2"/>
    <n v="4"/>
    <n v="5"/>
    <n v="1"/>
    <n v="3"/>
    <m/>
    <s v=""/>
    <m/>
    <s v=""/>
    <n v="1"/>
    <n v="1"/>
  </r>
  <r>
    <d v="2023-01-23T00:00:00"/>
    <x v="3"/>
    <n v="4"/>
    <n v="6"/>
    <n v="2"/>
    <n v="3"/>
    <s v="H"/>
    <n v="1"/>
    <m/>
    <s v=""/>
    <n v="1"/>
    <n v="2"/>
  </r>
  <r>
    <d v="2023-01-23T00:00:00"/>
    <x v="4"/>
    <n v="5"/>
    <n v="8"/>
    <n v="3"/>
    <n v="4"/>
    <m/>
    <s v=""/>
    <m/>
    <s v=""/>
    <n v="2"/>
    <n v="2"/>
  </r>
  <r>
    <d v="2023-01-23T00:00:00"/>
    <x v="5"/>
    <n v="4"/>
    <n v="9"/>
    <n v="5"/>
    <n v="4"/>
    <s v="H"/>
    <n v="1"/>
    <m/>
    <s v=""/>
    <n v="3"/>
    <n v="2"/>
  </r>
  <r>
    <d v="2023-01-23T00:00:00"/>
    <x v="6"/>
    <n v="4"/>
    <n v="7"/>
    <n v="3"/>
    <n v="6"/>
    <s v="H"/>
    <n v="1"/>
    <m/>
    <s v=""/>
    <n v="0"/>
    <n v="1"/>
  </r>
  <r>
    <d v="2023-01-23T00:00:00"/>
    <x v="7"/>
    <n v="3"/>
    <n v="5"/>
    <n v="2"/>
    <n v="1"/>
    <m/>
    <s v=""/>
    <m/>
    <s v=""/>
    <n v="1"/>
    <n v="3"/>
  </r>
  <r>
    <d v="2023-01-23T00:00:00"/>
    <x v="8"/>
    <n v="4"/>
    <n v="7"/>
    <n v="3"/>
    <n v="4"/>
    <m/>
    <s v=""/>
    <m/>
    <s v=""/>
    <n v="2"/>
    <n v="1"/>
  </r>
  <r>
    <d v="2023-01-23T00:00:00"/>
    <x v="9"/>
    <n v="4"/>
    <n v="7"/>
    <n v="3"/>
    <n v="4"/>
    <m/>
    <s v=""/>
    <m/>
    <s v=""/>
    <n v="2"/>
    <n v="1"/>
  </r>
  <r>
    <d v="2023-01-23T00:00:00"/>
    <x v="10"/>
    <n v="3"/>
    <n v="4"/>
    <n v="1"/>
    <n v="1"/>
    <m/>
    <s v=""/>
    <m/>
    <s v=""/>
    <n v="1"/>
    <n v="2"/>
  </r>
  <r>
    <d v="2023-01-23T00:00:00"/>
    <x v="11"/>
    <n v="4"/>
    <n v="8"/>
    <n v="4"/>
    <n v="4"/>
    <m/>
    <s v=""/>
    <s v="OB"/>
    <n v="2"/>
    <n v="1"/>
    <n v="3"/>
  </r>
  <r>
    <d v="2023-01-23T00:00:00"/>
    <x v="12"/>
    <n v="5"/>
    <n v="7"/>
    <n v="2"/>
    <n v="3"/>
    <s v="B"/>
    <n v="1"/>
    <m/>
    <s v=""/>
    <n v="2"/>
    <n v="2"/>
  </r>
  <r>
    <d v="2023-01-23T00:00:00"/>
    <x v="13"/>
    <n v="4"/>
    <n v="7"/>
    <n v="3"/>
    <n v="2"/>
    <m/>
    <s v=""/>
    <m/>
    <s v=""/>
    <n v="1"/>
    <n v="4"/>
  </r>
  <r>
    <d v="2023-01-23T00:00:00"/>
    <x v="14"/>
    <n v="4"/>
    <n v="5"/>
    <n v="1"/>
    <n v="2"/>
    <m/>
    <s v=""/>
    <m/>
    <s v=""/>
    <n v="1"/>
    <n v="2"/>
  </r>
  <r>
    <d v="2023-01-23T00:00:00"/>
    <x v="15"/>
    <n v="3"/>
    <n v="4"/>
    <n v="1"/>
    <n v="1"/>
    <m/>
    <s v=""/>
    <m/>
    <s v=""/>
    <n v="1"/>
    <n v="2"/>
  </r>
  <r>
    <d v="2023-01-23T00:00:00"/>
    <x v="16"/>
    <n v="4"/>
    <n v="7"/>
    <n v="3"/>
    <n v="3"/>
    <s v="H"/>
    <n v="1"/>
    <m/>
    <s v=""/>
    <n v="1"/>
    <n v="3"/>
  </r>
  <r>
    <d v="2023-01-23T00:00:00"/>
    <x v="17"/>
    <n v="5"/>
    <n v="8"/>
    <n v="3"/>
    <n v="4"/>
    <s v="H"/>
    <n v="1"/>
    <m/>
    <s v=""/>
    <n v="1"/>
    <n v="3"/>
  </r>
  <r>
    <d v="2023-02-06T00:00:00"/>
    <x v="0"/>
    <n v="5"/>
    <n v="7"/>
    <n v="2"/>
    <n v="4"/>
    <m/>
    <s v=""/>
    <m/>
    <s v=""/>
    <n v="1"/>
    <n v="2"/>
  </r>
  <r>
    <d v="2023-02-06T00:00:00"/>
    <x v="1"/>
    <n v="3"/>
    <n v="6"/>
    <n v="3"/>
    <n v="2"/>
    <m/>
    <s v=""/>
    <m/>
    <s v=""/>
    <n v="3"/>
    <n v="1"/>
  </r>
  <r>
    <d v="2023-02-06T00:00:00"/>
    <x v="2"/>
    <n v="4"/>
    <n v="6"/>
    <n v="2"/>
    <n v="3"/>
    <m/>
    <s v=""/>
    <m/>
    <s v=""/>
    <n v="1"/>
    <n v="2"/>
  </r>
  <r>
    <d v="2023-02-06T00:00:00"/>
    <x v="3"/>
    <n v="4"/>
    <n v="6"/>
    <n v="2"/>
    <n v="3"/>
    <m/>
    <s v=""/>
    <m/>
    <s v=""/>
    <n v="1"/>
    <n v="2"/>
  </r>
  <r>
    <d v="2023-02-06T00:00:00"/>
    <x v="4"/>
    <n v="5"/>
    <n v="6"/>
    <n v="1"/>
    <n v="3"/>
    <m/>
    <s v=""/>
    <m/>
    <s v=""/>
    <n v="0"/>
    <n v="3"/>
  </r>
  <r>
    <d v="2023-02-06T00:00:00"/>
    <x v="5"/>
    <n v="4"/>
    <n v="6"/>
    <n v="2"/>
    <n v="4"/>
    <m/>
    <s v=""/>
    <m/>
    <s v=""/>
    <n v="1"/>
    <n v="1"/>
  </r>
  <r>
    <d v="2023-02-06T00:00:00"/>
    <x v="6"/>
    <n v="4"/>
    <n v="7"/>
    <n v="3"/>
    <n v="5"/>
    <s v="TO"/>
    <n v="1"/>
    <m/>
    <s v=""/>
    <n v="1"/>
    <n v="1"/>
  </r>
  <r>
    <d v="2023-02-06T00:00:00"/>
    <x v="7"/>
    <n v="3"/>
    <n v="5"/>
    <n v="2"/>
    <n v="1"/>
    <m/>
    <s v=""/>
    <m/>
    <s v=""/>
    <n v="2"/>
    <n v="2"/>
  </r>
  <r>
    <d v="2023-02-06T00:00:00"/>
    <x v="8"/>
    <n v="4"/>
    <n v="8"/>
    <n v="4"/>
    <n v="5"/>
    <s v="TO"/>
    <n v="1"/>
    <m/>
    <s v=""/>
    <n v="1"/>
    <n v="2"/>
  </r>
  <r>
    <d v="2023-02-06T00:00:00"/>
    <x v="9"/>
    <n v="4"/>
    <n v="8"/>
    <n v="4"/>
    <n v="3"/>
    <s v="TO"/>
    <n v="1"/>
    <m/>
    <s v=""/>
    <n v="2"/>
    <n v="3"/>
  </r>
  <r>
    <d v="2023-02-06T00:00:00"/>
    <x v="10"/>
    <n v="3"/>
    <n v="3"/>
    <n v="0"/>
    <n v="1"/>
    <m/>
    <s v=""/>
    <m/>
    <s v=""/>
    <n v="0"/>
    <n v="2"/>
  </r>
  <r>
    <d v="2023-02-06T00:00:00"/>
    <x v="11"/>
    <n v="4"/>
    <n v="4"/>
    <n v="0"/>
    <n v="2"/>
    <m/>
    <s v=""/>
    <m/>
    <s v=""/>
    <n v="1"/>
    <n v="1"/>
  </r>
  <r>
    <d v="2023-02-06T00:00:00"/>
    <x v="12"/>
    <n v="5"/>
    <n v="7"/>
    <n v="2"/>
    <n v="5"/>
    <s v="TO"/>
    <n v="1"/>
    <m/>
    <s v=""/>
    <n v="1"/>
    <n v="1"/>
  </r>
  <r>
    <d v="2023-02-06T00:00:00"/>
    <x v="13"/>
    <n v="4"/>
    <n v="8"/>
    <n v="4"/>
    <n v="5"/>
    <s v="TO"/>
    <n v="1"/>
    <m/>
    <s v=""/>
    <n v="0"/>
    <n v="3"/>
  </r>
  <r>
    <d v="2023-02-06T00:00:00"/>
    <x v="14"/>
    <n v="4"/>
    <n v="8"/>
    <n v="4"/>
    <n v="2"/>
    <m/>
    <s v=""/>
    <m/>
    <s v=""/>
    <n v="4"/>
    <n v="2"/>
  </r>
  <r>
    <d v="2023-02-06T00:00:00"/>
    <x v="15"/>
    <n v="3"/>
    <n v="4"/>
    <n v="1"/>
    <n v="1"/>
    <m/>
    <s v=""/>
    <m/>
    <s v=""/>
    <n v="1"/>
    <n v="2"/>
  </r>
  <r>
    <d v="2023-02-06T00:00:00"/>
    <x v="16"/>
    <n v="4"/>
    <n v="7"/>
    <n v="3"/>
    <n v="3"/>
    <m/>
    <s v=""/>
    <m/>
    <s v=""/>
    <n v="2"/>
    <n v="2"/>
  </r>
  <r>
    <d v="2023-02-06T00:00:00"/>
    <x v="17"/>
    <n v="5"/>
    <n v="10"/>
    <n v="5"/>
    <n v="4"/>
    <m/>
    <s v=""/>
    <m/>
    <s v=""/>
    <n v="1"/>
    <n v="5"/>
  </r>
  <r>
    <d v="2023-02-14T00:00:00"/>
    <x v="0"/>
    <n v="5"/>
    <n v="10"/>
    <n v="5"/>
    <n v="4"/>
    <s v="TR"/>
    <n v="1"/>
    <m/>
    <s v=""/>
    <n v="2"/>
    <n v="4"/>
  </r>
  <r>
    <d v="2023-02-14T00:00:00"/>
    <x v="1"/>
    <n v="3"/>
    <n v="7"/>
    <n v="4"/>
    <n v="1"/>
    <m/>
    <s v=""/>
    <m/>
    <s v=""/>
    <n v="3"/>
    <n v="3"/>
  </r>
  <r>
    <d v="2023-02-14T00:00:00"/>
    <x v="2"/>
    <n v="4"/>
    <n v="7"/>
    <n v="3"/>
    <n v="4"/>
    <m/>
    <s v=""/>
    <m/>
    <s v=""/>
    <n v="1"/>
    <n v="2"/>
  </r>
  <r>
    <d v="2023-02-14T00:00:00"/>
    <x v="3"/>
    <n v="4"/>
    <n v="4"/>
    <n v="0"/>
    <n v="2"/>
    <m/>
    <s v=""/>
    <m/>
    <s v=""/>
    <n v="1"/>
    <n v="1"/>
  </r>
  <r>
    <d v="2023-02-14T00:00:00"/>
    <x v="4"/>
    <n v="5"/>
    <n v="8"/>
    <n v="3"/>
    <n v="4"/>
    <m/>
    <s v=""/>
    <m/>
    <s v=""/>
    <n v="1"/>
    <n v="3"/>
  </r>
  <r>
    <d v="2023-02-14T00:00:00"/>
    <x v="5"/>
    <n v="4"/>
    <n v="8"/>
    <n v="4"/>
    <n v="3"/>
    <m/>
    <s v=""/>
    <m/>
    <s v=""/>
    <n v="2"/>
    <n v="3"/>
  </r>
  <r>
    <d v="2023-02-14T00:00:00"/>
    <x v="6"/>
    <n v="4"/>
    <n v="7"/>
    <n v="3"/>
    <n v="3"/>
    <m/>
    <s v=""/>
    <m/>
    <s v=""/>
    <n v="1"/>
    <n v="3"/>
  </r>
  <r>
    <d v="2023-02-14T00:00:00"/>
    <x v="7"/>
    <n v="3"/>
    <n v="5"/>
    <n v="2"/>
    <n v="2"/>
    <m/>
    <s v=""/>
    <m/>
    <s v=""/>
    <n v="0"/>
    <n v="3"/>
  </r>
  <r>
    <d v="2023-02-14T00:00:00"/>
    <x v="8"/>
    <n v="4"/>
    <n v="6"/>
    <n v="2"/>
    <n v="3"/>
    <m/>
    <s v=""/>
    <m/>
    <s v=""/>
    <n v="1"/>
    <n v="2"/>
  </r>
  <r>
    <d v="2023-02-14T00:00:00"/>
    <x v="9"/>
    <n v="4"/>
    <n v="6"/>
    <n v="2"/>
    <n v="3"/>
    <m/>
    <s v=""/>
    <m/>
    <s v=""/>
    <n v="1"/>
    <n v="2"/>
  </r>
  <r>
    <d v="2023-02-14T00:00:00"/>
    <x v="10"/>
    <n v="3"/>
    <n v="7"/>
    <n v="4"/>
    <n v="3"/>
    <m/>
    <s v=""/>
    <m/>
    <s v=""/>
    <n v="1"/>
    <n v="3"/>
  </r>
  <r>
    <d v="2023-02-14T00:00:00"/>
    <x v="11"/>
    <n v="4"/>
    <n v="8"/>
    <n v="4"/>
    <n v="4"/>
    <s v="H"/>
    <n v="1"/>
    <m/>
    <s v=""/>
    <n v="1"/>
    <n v="3"/>
  </r>
  <r>
    <d v="2023-02-14T00:00:00"/>
    <x v="12"/>
    <n v="5"/>
    <n v="6"/>
    <n v="1"/>
    <n v="4"/>
    <m/>
    <s v=""/>
    <m/>
    <s v=""/>
    <n v="1"/>
    <n v="1"/>
  </r>
  <r>
    <d v="2023-02-14T00:00:00"/>
    <x v="13"/>
    <n v="4"/>
    <n v="6"/>
    <n v="2"/>
    <n v="2"/>
    <m/>
    <s v=""/>
    <m/>
    <s v=""/>
    <n v="1"/>
    <n v="3"/>
  </r>
  <r>
    <d v="2023-02-14T00:00:00"/>
    <x v="14"/>
    <n v="4"/>
    <n v="7"/>
    <n v="3"/>
    <n v="3"/>
    <m/>
    <s v=""/>
    <m/>
    <s v=""/>
    <n v="2"/>
    <n v="2"/>
  </r>
  <r>
    <d v="2023-02-14T00:00:00"/>
    <x v="15"/>
    <n v="3"/>
    <n v="5"/>
    <n v="2"/>
    <n v="1"/>
    <m/>
    <s v=""/>
    <m/>
    <s v=""/>
    <n v="1"/>
    <n v="3"/>
  </r>
  <r>
    <d v="2023-02-14T00:00:00"/>
    <x v="16"/>
    <n v="4"/>
    <n v="8"/>
    <n v="4"/>
    <n v="3"/>
    <s v="OB"/>
    <n v="1"/>
    <s v="OB"/>
    <n v="2"/>
    <n v="3"/>
    <n v="2"/>
  </r>
  <r>
    <d v="2023-02-14T00:00:00"/>
    <x v="17"/>
    <n v="5"/>
    <n v="6"/>
    <n v="1"/>
    <n v="3"/>
    <m/>
    <s v=""/>
    <m/>
    <s v=""/>
    <n v="2"/>
    <n v="1"/>
  </r>
  <r>
    <d v="2023-04-03T00:00:00"/>
    <x v="0"/>
    <n v="5"/>
    <n v="8"/>
    <n v="3"/>
    <n v="3"/>
    <s v="B, B"/>
    <n v="2"/>
    <m/>
    <s v=""/>
    <n v="2"/>
    <n v="3"/>
  </r>
  <r>
    <d v="2023-04-03T00:00:00"/>
    <x v="1"/>
    <n v="3"/>
    <n v="6"/>
    <n v="3"/>
    <n v="2"/>
    <s v="B"/>
    <n v="1"/>
    <m/>
    <s v=""/>
    <n v="1"/>
    <n v="3"/>
  </r>
  <r>
    <d v="2023-04-03T00:00:00"/>
    <x v="2"/>
    <n v="4"/>
    <n v="6"/>
    <n v="2"/>
    <n v="3"/>
    <m/>
    <s v=""/>
    <m/>
    <s v=""/>
    <n v="1"/>
    <n v="2"/>
  </r>
  <r>
    <d v="2023-04-03T00:00:00"/>
    <x v="3"/>
    <n v="4"/>
    <n v="7"/>
    <n v="3"/>
    <n v="4"/>
    <m/>
    <s v=""/>
    <m/>
    <s v=""/>
    <n v="1"/>
    <n v="2"/>
  </r>
  <r>
    <d v="2023-04-03T00:00:00"/>
    <x v="4"/>
    <n v="5"/>
    <n v="6"/>
    <n v="1"/>
    <n v="4"/>
    <m/>
    <s v=""/>
    <m/>
    <s v=""/>
    <n v="1"/>
    <n v="1"/>
  </r>
  <r>
    <d v="2023-04-03T00:00:00"/>
    <x v="5"/>
    <n v="4"/>
    <n v="5"/>
    <n v="1"/>
    <n v="2"/>
    <m/>
    <s v=""/>
    <m/>
    <s v=""/>
    <n v="1"/>
    <n v="2"/>
  </r>
  <r>
    <d v="2023-04-03T00:00:00"/>
    <x v="6"/>
    <n v="4"/>
    <n v="6"/>
    <n v="2"/>
    <n v="3"/>
    <m/>
    <s v=""/>
    <m/>
    <s v=""/>
    <n v="1"/>
    <n v="2"/>
  </r>
  <r>
    <d v="2023-04-03T00:00:00"/>
    <x v="7"/>
    <n v="3"/>
    <n v="5"/>
    <n v="2"/>
    <n v="2"/>
    <m/>
    <s v=""/>
    <m/>
    <s v=""/>
    <n v="2"/>
    <n v="1"/>
  </r>
  <r>
    <d v="2023-04-03T00:00:00"/>
    <x v="8"/>
    <n v="4"/>
    <n v="7"/>
    <n v="3"/>
    <n v="4"/>
    <m/>
    <s v=""/>
    <m/>
    <s v=""/>
    <n v="1"/>
    <n v="2"/>
  </r>
  <r>
    <d v="2023-04-03T00:00:00"/>
    <x v="9"/>
    <n v="4"/>
    <n v="9"/>
    <n v="5"/>
    <n v="5"/>
    <s v="TO"/>
    <n v="1"/>
    <m/>
    <s v=""/>
    <n v="2"/>
    <n v="2"/>
  </r>
  <r>
    <d v="2023-04-03T00:00:00"/>
    <x v="10"/>
    <n v="3"/>
    <n v="3"/>
    <n v="0"/>
    <n v="1"/>
    <m/>
    <s v=""/>
    <m/>
    <s v=""/>
    <n v="0"/>
    <n v="2"/>
  </r>
  <r>
    <d v="2023-04-03T00:00:00"/>
    <x v="11"/>
    <n v="4"/>
    <n v="7"/>
    <n v="3"/>
    <n v="4"/>
    <s v="TR,B"/>
    <n v="2"/>
    <m/>
    <s v=""/>
    <n v="1"/>
    <n v="2"/>
  </r>
  <r>
    <d v="2023-04-03T00:00:00"/>
    <x v="12"/>
    <n v="5"/>
    <n v="8"/>
    <n v="3"/>
    <n v="4"/>
    <s v="TO, TR"/>
    <n v="2"/>
    <m/>
    <s v=""/>
    <n v="1"/>
    <n v="3"/>
  </r>
  <r>
    <d v="2023-04-03T00:00:00"/>
    <x v="13"/>
    <n v="4"/>
    <n v="6"/>
    <n v="2"/>
    <n v="4"/>
    <m/>
    <s v=""/>
    <m/>
    <s v=""/>
    <n v="1"/>
    <n v="1"/>
  </r>
  <r>
    <d v="2023-04-03T00:00:00"/>
    <x v="14"/>
    <n v="4"/>
    <n v="6"/>
    <n v="2"/>
    <n v="3"/>
    <m/>
    <s v=""/>
    <m/>
    <s v=""/>
    <n v="1"/>
    <n v="2"/>
  </r>
  <r>
    <d v="2023-04-03T00:00:00"/>
    <x v="15"/>
    <n v="3"/>
    <n v="5"/>
    <n v="2"/>
    <n v="3"/>
    <s v="TO,B"/>
    <n v="2"/>
    <m/>
    <s v=""/>
    <n v="1"/>
    <n v="1"/>
  </r>
  <r>
    <d v="2023-04-03T00:00:00"/>
    <x v="16"/>
    <n v="4"/>
    <n v="6"/>
    <n v="2"/>
    <n v="3"/>
    <m/>
    <s v=""/>
    <m/>
    <s v=""/>
    <n v="1"/>
    <n v="2"/>
  </r>
  <r>
    <d v="2023-04-03T00:00:00"/>
    <x v="17"/>
    <n v="5"/>
    <n v="8"/>
    <n v="3"/>
    <n v="4"/>
    <m/>
    <s v=""/>
    <m/>
    <s v=""/>
    <n v="2"/>
    <n v="2"/>
  </r>
  <r>
    <d v="2023-04-17T00:00:00"/>
    <x v="0"/>
    <n v="5"/>
    <n v="9"/>
    <n v="4"/>
    <n v="4"/>
    <s v="TO"/>
    <n v="1"/>
    <m/>
    <s v=""/>
    <n v="2"/>
    <n v="3"/>
  </r>
  <r>
    <d v="2023-04-17T00:00:00"/>
    <x v="1"/>
    <n v="3"/>
    <n v="4"/>
    <n v="1"/>
    <n v="1"/>
    <m/>
    <s v=""/>
    <m/>
    <s v=""/>
    <n v="1"/>
    <n v="2"/>
  </r>
  <r>
    <d v="2023-04-17T00:00:00"/>
    <x v="2"/>
    <n v="4"/>
    <n v="6"/>
    <n v="2"/>
    <n v="3"/>
    <s v="TO, B"/>
    <n v="2"/>
    <m/>
    <s v=""/>
    <n v="1"/>
    <n v="2"/>
  </r>
  <r>
    <d v="2023-04-17T00:00:00"/>
    <x v="3"/>
    <n v="4"/>
    <n v="6"/>
    <n v="2"/>
    <n v="3"/>
    <m/>
    <s v=""/>
    <m/>
    <s v=""/>
    <n v="1"/>
    <n v="2"/>
  </r>
  <r>
    <d v="2023-04-17T00:00:00"/>
    <x v="4"/>
    <n v="5"/>
    <n v="8"/>
    <n v="3"/>
    <n v="4"/>
    <m/>
    <s v=""/>
    <m/>
    <s v=""/>
    <n v="1"/>
    <n v="3"/>
  </r>
  <r>
    <d v="2023-04-17T00:00:00"/>
    <x v="5"/>
    <n v="4"/>
    <n v="8"/>
    <n v="4"/>
    <n v="3"/>
    <m/>
    <s v=""/>
    <m/>
    <s v=""/>
    <n v="2"/>
    <n v="3"/>
  </r>
  <r>
    <d v="2023-04-17T00:00:00"/>
    <x v="6"/>
    <n v="4"/>
    <n v="7"/>
    <n v="3"/>
    <n v="4"/>
    <m/>
    <s v=""/>
    <m/>
    <s v=""/>
    <n v="1"/>
    <n v="2"/>
  </r>
  <r>
    <d v="2023-04-17T00:00:00"/>
    <x v="7"/>
    <n v="3"/>
    <n v="4"/>
    <n v="1"/>
    <n v="1"/>
    <m/>
    <s v=""/>
    <m/>
    <s v=""/>
    <n v="0"/>
    <n v="3"/>
  </r>
  <r>
    <d v="2023-04-17T00:00:00"/>
    <x v="8"/>
    <n v="4"/>
    <n v="6"/>
    <n v="2"/>
    <n v="3"/>
    <m/>
    <s v=""/>
    <m/>
    <s v=""/>
    <n v="1"/>
    <n v="2"/>
  </r>
  <r>
    <d v="2023-04-17T00:00:00"/>
    <x v="9"/>
    <n v="4"/>
    <n v="8"/>
    <n v="4"/>
    <n v="4"/>
    <m/>
    <s v=""/>
    <m/>
    <s v=""/>
    <n v="2"/>
    <n v="2"/>
  </r>
  <r>
    <d v="2023-04-17T00:00:00"/>
    <x v="10"/>
    <n v="3"/>
    <n v="5"/>
    <n v="2"/>
    <n v="1"/>
    <m/>
    <s v=""/>
    <m/>
    <s v=""/>
    <n v="1"/>
    <n v="3"/>
  </r>
  <r>
    <d v="2023-04-17T00:00:00"/>
    <x v="11"/>
    <n v="4"/>
    <n v="8"/>
    <n v="4"/>
    <n v="4"/>
    <s v="TR"/>
    <n v="1"/>
    <m/>
    <s v=""/>
    <n v="2"/>
    <n v="2"/>
  </r>
  <r>
    <d v="2023-04-17T00:00:00"/>
    <x v="12"/>
    <n v="5"/>
    <n v="8"/>
    <n v="3"/>
    <n v="5"/>
    <s v="B"/>
    <n v="1"/>
    <m/>
    <s v=""/>
    <n v="2"/>
    <n v="1"/>
  </r>
  <r>
    <d v="2023-04-17T00:00:00"/>
    <x v="13"/>
    <n v="4"/>
    <n v="6"/>
    <n v="2"/>
    <n v="3"/>
    <m/>
    <s v=""/>
    <m/>
    <s v=""/>
    <n v="1"/>
    <n v="2"/>
  </r>
  <r>
    <d v="2023-04-17T00:00:00"/>
    <x v="14"/>
    <n v="4"/>
    <n v="5"/>
    <n v="1"/>
    <n v="3"/>
    <m/>
    <s v=""/>
    <m/>
    <s v=""/>
    <n v="1"/>
    <n v="1"/>
  </r>
  <r>
    <d v="2023-04-17T00:00:00"/>
    <x v="15"/>
    <n v="3"/>
    <n v="6"/>
    <n v="3"/>
    <n v="1"/>
    <m/>
    <s v=""/>
    <m/>
    <s v=""/>
    <n v="1"/>
    <n v="4"/>
  </r>
  <r>
    <d v="2023-04-17T00:00:00"/>
    <x v="16"/>
    <n v="4"/>
    <n v="5"/>
    <n v="1"/>
    <n v="2"/>
    <m/>
    <s v=""/>
    <m/>
    <s v=""/>
    <n v="1"/>
    <n v="2"/>
  </r>
  <r>
    <d v="2023-04-17T00:00:00"/>
    <x v="17"/>
    <n v="5"/>
    <n v="6"/>
    <n v="1"/>
    <n v="3"/>
    <m/>
    <s v=""/>
    <m/>
    <s v=""/>
    <n v="1"/>
    <n v="2"/>
  </r>
  <r>
    <d v="2023-05-01T00:00:00"/>
    <x v="0"/>
    <n v="5"/>
    <n v="7"/>
    <n v="2"/>
    <n v="4"/>
    <m/>
    <s v=""/>
    <m/>
    <s v=""/>
    <n v="1"/>
    <n v="2"/>
  </r>
  <r>
    <d v="2023-05-01T00:00:00"/>
    <x v="1"/>
    <n v="3"/>
    <n v="6"/>
    <n v="3"/>
    <n v="2"/>
    <m/>
    <s v=""/>
    <m/>
    <s v=""/>
    <n v="0"/>
    <n v="4"/>
  </r>
  <r>
    <d v="2023-05-01T00:00:00"/>
    <x v="2"/>
    <n v="4"/>
    <n v="5"/>
    <n v="1"/>
    <n v="2"/>
    <m/>
    <s v=""/>
    <m/>
    <s v=""/>
    <n v="1"/>
    <n v="2"/>
  </r>
  <r>
    <d v="2023-05-01T00:00:00"/>
    <x v="3"/>
    <n v="4"/>
    <n v="5"/>
    <n v="1"/>
    <n v="3"/>
    <m/>
    <s v=""/>
    <m/>
    <s v=""/>
    <n v="0"/>
    <n v="2"/>
  </r>
  <r>
    <d v="2023-05-01T00:00:00"/>
    <x v="4"/>
    <n v="5"/>
    <n v="7"/>
    <n v="2"/>
    <n v="4"/>
    <m/>
    <s v=""/>
    <m/>
    <s v=""/>
    <n v="1"/>
    <n v="2"/>
  </r>
  <r>
    <d v="2023-05-01T00:00:00"/>
    <x v="5"/>
    <n v="4"/>
    <n v="8"/>
    <n v="4"/>
    <n v="4"/>
    <s v="TO"/>
    <n v="1"/>
    <m/>
    <s v=""/>
    <n v="2"/>
    <n v="2"/>
  </r>
  <r>
    <d v="2023-05-01T00:00:00"/>
    <x v="6"/>
    <n v="4"/>
    <n v="6"/>
    <n v="2"/>
    <n v="4"/>
    <m/>
    <s v=""/>
    <m/>
    <s v=""/>
    <n v="1"/>
    <n v="1"/>
  </r>
  <r>
    <d v="2023-05-01T00:00:00"/>
    <x v="7"/>
    <n v="3"/>
    <n v="7"/>
    <n v="4"/>
    <n v="2"/>
    <m/>
    <s v=""/>
    <m/>
    <s v=""/>
    <n v="1"/>
    <n v="4"/>
  </r>
  <r>
    <d v="2023-05-01T00:00:00"/>
    <x v="8"/>
    <n v="4"/>
    <n v="8"/>
    <n v="4"/>
    <n v="5"/>
    <s v="H"/>
    <n v="1"/>
    <m/>
    <s v=""/>
    <n v="1"/>
    <n v="2"/>
  </r>
  <r>
    <d v="2023-05-01T00:00:00"/>
    <x v="9"/>
    <n v="4"/>
    <n v="7"/>
    <n v="3"/>
    <n v="4"/>
    <m/>
    <s v=""/>
    <m/>
    <s v=""/>
    <n v="1"/>
    <n v="2"/>
  </r>
  <r>
    <d v="2023-05-01T00:00:00"/>
    <x v="10"/>
    <n v="3"/>
    <n v="5"/>
    <n v="2"/>
    <n v="1"/>
    <m/>
    <s v=""/>
    <m/>
    <s v=""/>
    <n v="1"/>
    <n v="3"/>
  </r>
  <r>
    <d v="2023-05-01T00:00:00"/>
    <x v="11"/>
    <n v="4"/>
    <n v="7"/>
    <n v="3"/>
    <n v="3"/>
    <m/>
    <s v=""/>
    <m/>
    <s v=""/>
    <n v="1"/>
    <n v="3"/>
  </r>
  <r>
    <d v="2023-05-01T00:00:00"/>
    <x v="12"/>
    <n v="5"/>
    <n v="6"/>
    <n v="1"/>
    <n v="4"/>
    <m/>
    <s v=""/>
    <m/>
    <s v=""/>
    <n v="1"/>
    <n v="1"/>
  </r>
  <r>
    <d v="2023-05-01T00:00:00"/>
    <x v="13"/>
    <n v="4"/>
    <n v="5"/>
    <n v="1"/>
    <n v="2"/>
    <m/>
    <s v=""/>
    <m/>
    <s v=""/>
    <n v="1"/>
    <n v="2"/>
  </r>
  <r>
    <d v="2023-05-01T00:00:00"/>
    <x v="14"/>
    <n v="4"/>
    <n v="8"/>
    <n v="4"/>
    <n v="4"/>
    <s v="TR"/>
    <n v="1"/>
    <m/>
    <s v=""/>
    <n v="1"/>
    <n v="3"/>
  </r>
  <r>
    <d v="2023-05-01T00:00:00"/>
    <x v="15"/>
    <n v="3"/>
    <n v="4"/>
    <n v="1"/>
    <n v="1"/>
    <m/>
    <s v=""/>
    <m/>
    <s v=""/>
    <n v="1"/>
    <n v="2"/>
  </r>
  <r>
    <d v="2023-05-01T00:00:00"/>
    <x v="16"/>
    <n v="4"/>
    <n v="6"/>
    <n v="2"/>
    <n v="2"/>
    <s v="B"/>
    <n v="1"/>
    <m/>
    <s v=""/>
    <n v="2"/>
    <n v="2"/>
  </r>
  <r>
    <d v="2023-05-01T00:00:00"/>
    <x v="17"/>
    <n v="5"/>
    <n v="7"/>
    <n v="2"/>
    <n v="4"/>
    <m/>
    <s v=""/>
    <m/>
    <s v=""/>
    <n v="1"/>
    <n v="2"/>
  </r>
  <r>
    <d v="2023-05-22T00:00:00"/>
    <x v="0"/>
    <n v="5"/>
    <n v="8"/>
    <n v="3"/>
    <n v="4"/>
    <m/>
    <s v=""/>
    <m/>
    <s v=""/>
    <n v="1"/>
    <n v="3"/>
  </r>
  <r>
    <d v="2023-05-22T00:00:00"/>
    <x v="1"/>
    <n v="3"/>
    <n v="5"/>
    <n v="2"/>
    <n v="2"/>
    <s v="B"/>
    <n v="1"/>
    <m/>
    <s v=""/>
    <n v="2"/>
    <n v="1"/>
  </r>
  <r>
    <d v="2023-05-22T00:00:00"/>
    <x v="2"/>
    <n v="4"/>
    <n v="9"/>
    <n v="5"/>
    <n v="4"/>
    <s v="B"/>
    <n v="1"/>
    <s v="OB"/>
    <n v="2"/>
    <n v="2"/>
    <n v="3"/>
  </r>
  <r>
    <d v="2023-05-22T00:00:00"/>
    <x v="3"/>
    <n v="4"/>
    <n v="7"/>
    <n v="3"/>
    <n v="4"/>
    <s v="B"/>
    <n v="1"/>
    <s v="OB"/>
    <n v="2"/>
    <n v="1"/>
    <n v="2"/>
  </r>
  <r>
    <d v="2023-05-22T00:00:00"/>
    <x v="4"/>
    <n v="5"/>
    <n v="6"/>
    <n v="1"/>
    <n v="3"/>
    <m/>
    <s v=""/>
    <m/>
    <s v=""/>
    <n v="1"/>
    <n v="2"/>
  </r>
  <r>
    <d v="2023-05-22T00:00:00"/>
    <x v="5"/>
    <n v="4"/>
    <n v="7"/>
    <n v="3"/>
    <n v="3"/>
    <m/>
    <s v=""/>
    <m/>
    <s v=""/>
    <n v="2"/>
    <n v="2"/>
  </r>
  <r>
    <d v="2023-05-22T00:00:00"/>
    <x v="6"/>
    <n v="4"/>
    <n v="5"/>
    <n v="1"/>
    <n v="2"/>
    <m/>
    <s v=""/>
    <m/>
    <s v=""/>
    <n v="0"/>
    <n v="3"/>
  </r>
  <r>
    <d v="2023-05-22T00:00:00"/>
    <x v="7"/>
    <n v="3"/>
    <n v="7"/>
    <n v="4"/>
    <n v="1"/>
    <s v="H"/>
    <n v="1"/>
    <m/>
    <s v=""/>
    <n v="2"/>
    <n v="4"/>
  </r>
  <r>
    <d v="2023-05-22T00:00:00"/>
    <x v="8"/>
    <n v="4"/>
    <n v="6"/>
    <n v="2"/>
    <n v="3"/>
    <m/>
    <s v=""/>
    <m/>
    <s v=""/>
    <n v="1"/>
    <n v="2"/>
  </r>
  <r>
    <d v="2023-05-22T00:00:00"/>
    <x v="9"/>
    <n v="4"/>
    <n v="6"/>
    <n v="2"/>
    <n v="2"/>
    <m/>
    <s v=""/>
    <m/>
    <s v=""/>
    <n v="1"/>
    <n v="3"/>
  </r>
  <r>
    <d v="2023-05-22T00:00:00"/>
    <x v="10"/>
    <n v="3"/>
    <n v="6"/>
    <n v="3"/>
    <n v="1"/>
    <m/>
    <s v=""/>
    <m/>
    <s v=""/>
    <n v="3"/>
    <n v="2"/>
  </r>
  <r>
    <d v="2023-05-22T00:00:00"/>
    <x v="11"/>
    <n v="4"/>
    <n v="6"/>
    <n v="2"/>
    <n v="3"/>
    <m/>
    <s v=""/>
    <m/>
    <s v=""/>
    <n v="1"/>
    <n v="2"/>
  </r>
  <r>
    <d v="2023-05-22T00:00:00"/>
    <x v="12"/>
    <n v="5"/>
    <n v="10"/>
    <n v="5"/>
    <n v="4"/>
    <s v="H, B"/>
    <n v="2"/>
    <m/>
    <s v=""/>
    <n v="1"/>
    <n v="5"/>
  </r>
  <r>
    <d v="2023-05-22T00:00:00"/>
    <x v="13"/>
    <n v="4"/>
    <n v="8"/>
    <n v="4"/>
    <n v="3"/>
    <m/>
    <s v=""/>
    <m/>
    <s v=""/>
    <n v="3"/>
    <n v="2"/>
  </r>
  <r>
    <d v="2023-05-22T00:00:00"/>
    <x v="14"/>
    <n v="4"/>
    <n v="7"/>
    <n v="3"/>
    <n v="3"/>
    <s v="B"/>
    <n v="1"/>
    <m/>
    <s v=""/>
    <n v="1"/>
    <n v="3"/>
  </r>
  <r>
    <d v="2023-05-22T00:00:00"/>
    <x v="15"/>
    <n v="3"/>
    <n v="4"/>
    <n v="1"/>
    <n v="1"/>
    <m/>
    <s v=""/>
    <m/>
    <s v=""/>
    <n v="2"/>
    <n v="1"/>
  </r>
  <r>
    <d v="2023-05-22T00:00:00"/>
    <x v="16"/>
    <n v="4"/>
    <n v="7"/>
    <n v="3"/>
    <n v="5"/>
    <s v="B"/>
    <n v="1"/>
    <m/>
    <s v=""/>
    <n v="1"/>
    <n v="1"/>
  </r>
  <r>
    <d v="2023-05-22T00:00:00"/>
    <x v="17"/>
    <n v="5"/>
    <n v="8"/>
    <n v="3"/>
    <n v="3"/>
    <s v="B"/>
    <n v="1"/>
    <m/>
    <s v=""/>
    <n v="2"/>
    <n v="3"/>
  </r>
  <r>
    <d v="2023-05-29T00:00:00"/>
    <x v="0"/>
    <n v="5"/>
    <n v="11"/>
    <n v="6"/>
    <n v="7"/>
    <s v="TO"/>
    <n v="1"/>
    <m/>
    <s v=""/>
    <n v="2"/>
    <n v="2"/>
  </r>
  <r>
    <d v="2023-05-29T00:00:00"/>
    <x v="1"/>
    <n v="3"/>
    <n v="6"/>
    <n v="3"/>
    <n v="2"/>
    <m/>
    <s v=""/>
    <m/>
    <s v=""/>
    <n v="1"/>
    <n v="3"/>
  </r>
  <r>
    <d v="2023-05-29T00:00:00"/>
    <x v="2"/>
    <n v="4"/>
    <n v="6"/>
    <n v="2"/>
    <n v="3"/>
    <m/>
    <s v=""/>
    <m/>
    <s v=""/>
    <n v="1"/>
    <n v="2"/>
  </r>
  <r>
    <d v="2023-05-29T00:00:00"/>
    <x v="3"/>
    <n v="4"/>
    <n v="6"/>
    <n v="2"/>
    <n v="3"/>
    <m/>
    <s v=""/>
    <m/>
    <s v=""/>
    <n v="1"/>
    <n v="2"/>
  </r>
  <r>
    <d v="2023-05-29T00:00:00"/>
    <x v="4"/>
    <n v="5"/>
    <n v="7"/>
    <n v="2"/>
    <n v="3"/>
    <m/>
    <s v=""/>
    <m/>
    <s v=""/>
    <n v="1"/>
    <n v="3"/>
  </r>
  <r>
    <d v="2023-05-29T00:00:00"/>
    <x v="5"/>
    <n v="4"/>
    <n v="9"/>
    <n v="5"/>
    <n v="3"/>
    <m/>
    <s v=""/>
    <m/>
    <s v=""/>
    <n v="3"/>
    <n v="3"/>
  </r>
  <r>
    <d v="2023-05-29T00:00:00"/>
    <x v="6"/>
    <n v="4"/>
    <n v="6"/>
    <n v="2"/>
    <n v="3"/>
    <m/>
    <s v=""/>
    <m/>
    <s v=""/>
    <n v="1"/>
    <n v="2"/>
  </r>
  <r>
    <d v="2023-05-29T00:00:00"/>
    <x v="7"/>
    <n v="3"/>
    <n v="4"/>
    <n v="1"/>
    <n v="1"/>
    <m/>
    <s v=""/>
    <m/>
    <s v=""/>
    <n v="1"/>
    <n v="2"/>
  </r>
  <r>
    <d v="2023-05-29T00:00:00"/>
    <x v="8"/>
    <n v="4"/>
    <n v="7"/>
    <n v="3"/>
    <n v="3"/>
    <s v="TO"/>
    <n v="1"/>
    <m/>
    <s v=""/>
    <n v="2"/>
    <n v="2"/>
  </r>
  <r>
    <d v="2023-05-29T00:00:00"/>
    <x v="9"/>
    <n v="4"/>
    <n v="8"/>
    <n v="4"/>
    <n v="4"/>
    <m/>
    <s v=""/>
    <m/>
    <s v=""/>
    <n v="2"/>
    <n v="2"/>
  </r>
  <r>
    <d v="2023-05-29T00:00:00"/>
    <x v="10"/>
    <n v="3"/>
    <n v="4"/>
    <n v="1"/>
    <n v="1"/>
    <m/>
    <s v=""/>
    <m/>
    <s v=""/>
    <n v="0"/>
    <n v="3"/>
  </r>
  <r>
    <d v="2023-05-29T00:00:00"/>
    <x v="11"/>
    <n v="4"/>
    <n v="7"/>
    <n v="3"/>
    <n v="3"/>
    <m/>
    <s v=""/>
    <m/>
    <s v=""/>
    <n v="2"/>
    <n v="2"/>
  </r>
  <r>
    <d v="2023-05-29T00:00:00"/>
    <x v="12"/>
    <n v="5"/>
    <n v="9"/>
    <n v="4"/>
    <n v="6"/>
    <m/>
    <s v=""/>
    <s v="OB, OB,"/>
    <n v="4"/>
    <n v="0"/>
    <n v="3"/>
  </r>
  <r>
    <d v="2023-05-29T00:00:00"/>
    <x v="13"/>
    <n v="4"/>
    <n v="4"/>
    <n v="0"/>
    <n v="2"/>
    <m/>
    <s v=""/>
    <m/>
    <s v=""/>
    <n v="1"/>
    <n v="1"/>
  </r>
  <r>
    <d v="2023-05-29T00:00:00"/>
    <x v="14"/>
    <n v="4"/>
    <n v="6"/>
    <n v="2"/>
    <n v="3"/>
    <m/>
    <s v=""/>
    <m/>
    <s v=""/>
    <n v="2"/>
    <n v="1"/>
  </r>
  <r>
    <d v="2023-05-29T00:00:00"/>
    <x v="15"/>
    <n v="3"/>
    <n v="5"/>
    <n v="2"/>
    <n v="2"/>
    <s v="B"/>
    <n v="1"/>
    <m/>
    <s v=""/>
    <n v="1"/>
    <n v="2"/>
  </r>
  <r>
    <d v="2023-05-29T00:00:00"/>
    <x v="16"/>
    <n v="4"/>
    <n v="6"/>
    <n v="2"/>
    <n v="2"/>
    <m/>
    <s v=""/>
    <m/>
    <s v=""/>
    <n v="1"/>
    <n v="3"/>
  </r>
  <r>
    <d v="2023-05-29T00:00:00"/>
    <x v="17"/>
    <n v="5"/>
    <n v="11"/>
    <n v="6"/>
    <n v="7"/>
    <m/>
    <s v=""/>
    <m/>
    <s v=""/>
    <n v="1"/>
    <n v="3"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  <r>
    <m/>
    <x v="18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x v="0"/>
    <n v="5"/>
    <n v="9"/>
    <n v="4"/>
    <n v="5"/>
    <s v="O"/>
    <n v="1"/>
    <m/>
    <s v=""/>
    <n v="1"/>
    <n v="3"/>
  </r>
  <r>
    <x v="0"/>
    <x v="1"/>
    <n v="3"/>
    <n v="4"/>
    <n v="1"/>
    <n v="1"/>
    <m/>
    <s v=""/>
    <m/>
    <s v=""/>
    <n v="1"/>
    <n v="2"/>
  </r>
  <r>
    <x v="0"/>
    <x v="2"/>
    <n v="4"/>
    <n v="5"/>
    <n v="1"/>
    <n v="3"/>
    <m/>
    <s v=""/>
    <m/>
    <s v=""/>
    <n v="1"/>
    <n v="1"/>
  </r>
  <r>
    <x v="0"/>
    <x v="3"/>
    <n v="4"/>
    <n v="6"/>
    <n v="2"/>
    <n v="3"/>
    <s v="H"/>
    <n v="1"/>
    <m/>
    <s v=""/>
    <n v="1"/>
    <n v="2"/>
  </r>
  <r>
    <x v="0"/>
    <x v="4"/>
    <n v="5"/>
    <n v="8"/>
    <n v="3"/>
    <n v="4"/>
    <m/>
    <s v=""/>
    <m/>
    <s v=""/>
    <n v="2"/>
    <n v="2"/>
  </r>
  <r>
    <x v="0"/>
    <x v="5"/>
    <n v="4"/>
    <n v="9"/>
    <n v="5"/>
    <n v="4"/>
    <s v="H"/>
    <n v="1"/>
    <m/>
    <s v=""/>
    <n v="3"/>
    <n v="2"/>
  </r>
  <r>
    <x v="0"/>
    <x v="6"/>
    <n v="4"/>
    <n v="7"/>
    <n v="3"/>
    <n v="6"/>
    <s v="H"/>
    <n v="1"/>
    <m/>
    <s v=""/>
    <n v="0"/>
    <n v="1"/>
  </r>
  <r>
    <x v="0"/>
    <x v="7"/>
    <n v="3"/>
    <n v="5"/>
    <n v="2"/>
    <n v="1"/>
    <m/>
    <s v=""/>
    <m/>
    <s v=""/>
    <n v="1"/>
    <n v="3"/>
  </r>
  <r>
    <x v="0"/>
    <x v="8"/>
    <n v="4"/>
    <n v="7"/>
    <n v="3"/>
    <n v="4"/>
    <m/>
    <s v=""/>
    <m/>
    <s v=""/>
    <n v="2"/>
    <n v="1"/>
  </r>
  <r>
    <x v="0"/>
    <x v="9"/>
    <n v="4"/>
    <n v="7"/>
    <n v="3"/>
    <n v="4"/>
    <m/>
    <s v=""/>
    <m/>
    <s v=""/>
    <n v="2"/>
    <n v="1"/>
  </r>
  <r>
    <x v="0"/>
    <x v="10"/>
    <n v="3"/>
    <n v="4"/>
    <n v="1"/>
    <n v="1"/>
    <m/>
    <s v=""/>
    <m/>
    <s v=""/>
    <n v="1"/>
    <n v="2"/>
  </r>
  <r>
    <x v="0"/>
    <x v="11"/>
    <n v="4"/>
    <n v="8"/>
    <n v="4"/>
    <n v="4"/>
    <m/>
    <s v=""/>
    <s v="OB"/>
    <n v="2"/>
    <n v="1"/>
    <n v="3"/>
  </r>
  <r>
    <x v="0"/>
    <x v="12"/>
    <n v="5"/>
    <n v="7"/>
    <n v="2"/>
    <n v="3"/>
    <s v="B"/>
    <n v="1"/>
    <m/>
    <s v=""/>
    <n v="2"/>
    <n v="2"/>
  </r>
  <r>
    <x v="0"/>
    <x v="13"/>
    <n v="4"/>
    <n v="7"/>
    <n v="3"/>
    <n v="2"/>
    <m/>
    <s v=""/>
    <m/>
    <s v=""/>
    <n v="1"/>
    <n v="4"/>
  </r>
  <r>
    <x v="0"/>
    <x v="14"/>
    <n v="4"/>
    <n v="5"/>
    <n v="1"/>
    <n v="2"/>
    <m/>
    <s v=""/>
    <m/>
    <s v=""/>
    <n v="1"/>
    <n v="2"/>
  </r>
  <r>
    <x v="0"/>
    <x v="15"/>
    <n v="3"/>
    <n v="4"/>
    <n v="1"/>
    <n v="1"/>
    <m/>
    <s v=""/>
    <m/>
    <s v=""/>
    <n v="1"/>
    <n v="2"/>
  </r>
  <r>
    <x v="0"/>
    <x v="16"/>
    <n v="4"/>
    <n v="7"/>
    <n v="3"/>
    <n v="3"/>
    <s v="H"/>
    <n v="1"/>
    <m/>
    <s v=""/>
    <n v="1"/>
    <n v="3"/>
  </r>
  <r>
    <x v="0"/>
    <x v="17"/>
    <n v="5"/>
    <n v="8"/>
    <n v="3"/>
    <n v="4"/>
    <s v="H"/>
    <n v="1"/>
    <m/>
    <s v=""/>
    <n v="1"/>
    <n v="3"/>
  </r>
  <r>
    <x v="1"/>
    <x v="0"/>
    <n v="5"/>
    <n v="7"/>
    <n v="2"/>
    <n v="4"/>
    <m/>
    <s v=""/>
    <m/>
    <s v=""/>
    <n v="1"/>
    <n v="2"/>
  </r>
  <r>
    <x v="1"/>
    <x v="1"/>
    <n v="3"/>
    <n v="6"/>
    <n v="3"/>
    <n v="2"/>
    <m/>
    <s v=""/>
    <m/>
    <s v=""/>
    <n v="3"/>
    <n v="1"/>
  </r>
  <r>
    <x v="1"/>
    <x v="2"/>
    <n v="4"/>
    <n v="6"/>
    <n v="2"/>
    <n v="3"/>
    <m/>
    <s v=""/>
    <m/>
    <s v=""/>
    <n v="1"/>
    <n v="2"/>
  </r>
  <r>
    <x v="1"/>
    <x v="3"/>
    <n v="4"/>
    <n v="6"/>
    <n v="2"/>
    <n v="3"/>
    <m/>
    <s v=""/>
    <m/>
    <s v=""/>
    <n v="1"/>
    <n v="2"/>
  </r>
  <r>
    <x v="1"/>
    <x v="4"/>
    <n v="5"/>
    <n v="6"/>
    <n v="1"/>
    <n v="3"/>
    <m/>
    <s v=""/>
    <m/>
    <s v=""/>
    <n v="0"/>
    <n v="3"/>
  </r>
  <r>
    <x v="1"/>
    <x v="5"/>
    <n v="4"/>
    <n v="6"/>
    <n v="2"/>
    <n v="4"/>
    <m/>
    <s v=""/>
    <m/>
    <s v=""/>
    <n v="1"/>
    <n v="1"/>
  </r>
  <r>
    <x v="1"/>
    <x v="6"/>
    <n v="4"/>
    <n v="7"/>
    <n v="3"/>
    <n v="5"/>
    <s v="TO"/>
    <n v="1"/>
    <m/>
    <s v=""/>
    <n v="1"/>
    <n v="1"/>
  </r>
  <r>
    <x v="1"/>
    <x v="7"/>
    <n v="3"/>
    <n v="5"/>
    <n v="2"/>
    <n v="1"/>
    <m/>
    <s v=""/>
    <m/>
    <s v=""/>
    <n v="2"/>
    <n v="2"/>
  </r>
  <r>
    <x v="1"/>
    <x v="8"/>
    <n v="4"/>
    <n v="8"/>
    <n v="4"/>
    <n v="5"/>
    <s v="TO"/>
    <n v="1"/>
    <m/>
    <s v=""/>
    <n v="1"/>
    <n v="2"/>
  </r>
  <r>
    <x v="1"/>
    <x v="9"/>
    <n v="4"/>
    <n v="8"/>
    <n v="4"/>
    <n v="3"/>
    <s v="TO"/>
    <n v="1"/>
    <m/>
    <s v=""/>
    <n v="2"/>
    <n v="3"/>
  </r>
  <r>
    <x v="1"/>
    <x v="10"/>
    <n v="3"/>
    <n v="3"/>
    <n v="0"/>
    <n v="1"/>
    <m/>
    <s v=""/>
    <m/>
    <s v=""/>
    <n v="0"/>
    <n v="2"/>
  </r>
  <r>
    <x v="1"/>
    <x v="11"/>
    <n v="4"/>
    <n v="4"/>
    <n v="0"/>
    <n v="2"/>
    <m/>
    <s v=""/>
    <m/>
    <s v=""/>
    <n v="1"/>
    <n v="1"/>
  </r>
  <r>
    <x v="1"/>
    <x v="12"/>
    <n v="5"/>
    <n v="7"/>
    <n v="2"/>
    <n v="5"/>
    <s v="TO"/>
    <n v="1"/>
    <m/>
    <s v=""/>
    <n v="1"/>
    <n v="1"/>
  </r>
  <r>
    <x v="1"/>
    <x v="13"/>
    <n v="4"/>
    <n v="8"/>
    <n v="4"/>
    <n v="5"/>
    <s v="TO"/>
    <n v="1"/>
    <m/>
    <s v=""/>
    <n v="0"/>
    <n v="3"/>
  </r>
  <r>
    <x v="1"/>
    <x v="14"/>
    <n v="4"/>
    <n v="8"/>
    <n v="4"/>
    <n v="2"/>
    <m/>
    <s v=""/>
    <m/>
    <s v=""/>
    <n v="4"/>
    <n v="2"/>
  </r>
  <r>
    <x v="1"/>
    <x v="15"/>
    <n v="3"/>
    <n v="4"/>
    <n v="1"/>
    <n v="1"/>
    <m/>
    <s v=""/>
    <m/>
    <s v=""/>
    <n v="1"/>
    <n v="2"/>
  </r>
  <r>
    <x v="1"/>
    <x v="16"/>
    <n v="4"/>
    <n v="7"/>
    <n v="3"/>
    <n v="3"/>
    <m/>
    <s v=""/>
    <m/>
    <s v=""/>
    <n v="2"/>
    <n v="2"/>
  </r>
  <r>
    <x v="1"/>
    <x v="17"/>
    <n v="5"/>
    <n v="10"/>
    <n v="5"/>
    <n v="4"/>
    <m/>
    <s v=""/>
    <m/>
    <s v=""/>
    <n v="1"/>
    <n v="5"/>
  </r>
  <r>
    <x v="2"/>
    <x v="0"/>
    <n v="5"/>
    <n v="10"/>
    <n v="5"/>
    <n v="4"/>
    <s v="TR"/>
    <n v="1"/>
    <m/>
    <s v=""/>
    <n v="2"/>
    <n v="4"/>
  </r>
  <r>
    <x v="2"/>
    <x v="1"/>
    <n v="3"/>
    <n v="7"/>
    <n v="4"/>
    <n v="1"/>
    <m/>
    <s v=""/>
    <m/>
    <s v=""/>
    <n v="3"/>
    <n v="3"/>
  </r>
  <r>
    <x v="2"/>
    <x v="2"/>
    <n v="4"/>
    <n v="7"/>
    <n v="3"/>
    <n v="4"/>
    <m/>
    <s v=""/>
    <m/>
    <s v=""/>
    <n v="1"/>
    <n v="2"/>
  </r>
  <r>
    <x v="2"/>
    <x v="3"/>
    <n v="4"/>
    <n v="4"/>
    <n v="0"/>
    <n v="2"/>
    <m/>
    <s v=""/>
    <m/>
    <s v=""/>
    <n v="1"/>
    <n v="1"/>
  </r>
  <r>
    <x v="2"/>
    <x v="4"/>
    <n v="5"/>
    <n v="8"/>
    <n v="3"/>
    <n v="4"/>
    <m/>
    <s v=""/>
    <m/>
    <s v=""/>
    <n v="1"/>
    <n v="3"/>
  </r>
  <r>
    <x v="2"/>
    <x v="5"/>
    <n v="4"/>
    <n v="8"/>
    <n v="4"/>
    <n v="3"/>
    <m/>
    <s v=""/>
    <m/>
    <s v=""/>
    <n v="2"/>
    <n v="3"/>
  </r>
  <r>
    <x v="2"/>
    <x v="6"/>
    <n v="4"/>
    <n v="7"/>
    <n v="3"/>
    <n v="3"/>
    <m/>
    <s v=""/>
    <m/>
    <s v=""/>
    <n v="1"/>
    <n v="3"/>
  </r>
  <r>
    <x v="2"/>
    <x v="7"/>
    <n v="3"/>
    <n v="5"/>
    <n v="2"/>
    <n v="2"/>
    <m/>
    <s v=""/>
    <m/>
    <s v=""/>
    <n v="0"/>
    <n v="3"/>
  </r>
  <r>
    <x v="2"/>
    <x v="8"/>
    <n v="4"/>
    <n v="6"/>
    <n v="2"/>
    <n v="3"/>
    <m/>
    <s v=""/>
    <m/>
    <s v=""/>
    <n v="1"/>
    <n v="2"/>
  </r>
  <r>
    <x v="2"/>
    <x v="9"/>
    <n v="4"/>
    <n v="6"/>
    <n v="2"/>
    <n v="3"/>
    <m/>
    <s v=""/>
    <m/>
    <s v=""/>
    <n v="1"/>
    <n v="2"/>
  </r>
  <r>
    <x v="2"/>
    <x v="10"/>
    <n v="3"/>
    <n v="7"/>
    <n v="4"/>
    <n v="3"/>
    <m/>
    <s v=""/>
    <m/>
    <s v=""/>
    <n v="1"/>
    <n v="3"/>
  </r>
  <r>
    <x v="2"/>
    <x v="11"/>
    <n v="4"/>
    <n v="8"/>
    <n v="4"/>
    <n v="4"/>
    <s v="H"/>
    <n v="1"/>
    <m/>
    <s v=""/>
    <n v="1"/>
    <n v="3"/>
  </r>
  <r>
    <x v="2"/>
    <x v="12"/>
    <n v="5"/>
    <n v="6"/>
    <n v="1"/>
    <n v="4"/>
    <m/>
    <s v=""/>
    <m/>
    <s v=""/>
    <n v="1"/>
    <n v="1"/>
  </r>
  <r>
    <x v="2"/>
    <x v="13"/>
    <n v="4"/>
    <n v="6"/>
    <n v="2"/>
    <n v="2"/>
    <m/>
    <s v=""/>
    <m/>
    <s v=""/>
    <n v="1"/>
    <n v="3"/>
  </r>
  <r>
    <x v="2"/>
    <x v="14"/>
    <n v="4"/>
    <n v="7"/>
    <n v="3"/>
    <n v="3"/>
    <m/>
    <s v=""/>
    <m/>
    <s v=""/>
    <n v="2"/>
    <n v="2"/>
  </r>
  <r>
    <x v="2"/>
    <x v="15"/>
    <n v="3"/>
    <n v="5"/>
    <n v="2"/>
    <n v="1"/>
    <m/>
    <s v=""/>
    <m/>
    <s v=""/>
    <n v="1"/>
    <n v="3"/>
  </r>
  <r>
    <x v="2"/>
    <x v="16"/>
    <n v="4"/>
    <n v="8"/>
    <n v="4"/>
    <n v="3"/>
    <s v="OB"/>
    <n v="1"/>
    <s v="OB"/>
    <n v="2"/>
    <n v="3"/>
    <n v="2"/>
  </r>
  <r>
    <x v="2"/>
    <x v="17"/>
    <n v="5"/>
    <n v="6"/>
    <n v="1"/>
    <n v="3"/>
    <m/>
    <s v=""/>
    <m/>
    <s v=""/>
    <n v="2"/>
    <n v="1"/>
  </r>
  <r>
    <x v="3"/>
    <x v="0"/>
    <n v="5"/>
    <n v="8"/>
    <n v="3"/>
    <n v="3"/>
    <s v="B, B"/>
    <n v="2"/>
    <m/>
    <s v=""/>
    <n v="2"/>
    <n v="3"/>
  </r>
  <r>
    <x v="3"/>
    <x v="1"/>
    <n v="3"/>
    <n v="6"/>
    <n v="3"/>
    <n v="2"/>
    <s v="B"/>
    <n v="1"/>
    <m/>
    <s v=""/>
    <n v="1"/>
    <n v="3"/>
  </r>
  <r>
    <x v="3"/>
    <x v="2"/>
    <n v="4"/>
    <n v="6"/>
    <n v="2"/>
    <n v="3"/>
    <m/>
    <s v=""/>
    <m/>
    <s v=""/>
    <n v="1"/>
    <n v="2"/>
  </r>
  <r>
    <x v="3"/>
    <x v="3"/>
    <n v="4"/>
    <n v="7"/>
    <n v="3"/>
    <n v="4"/>
    <m/>
    <s v=""/>
    <m/>
    <s v=""/>
    <n v="1"/>
    <n v="2"/>
  </r>
  <r>
    <x v="3"/>
    <x v="4"/>
    <n v="5"/>
    <n v="6"/>
    <n v="1"/>
    <n v="4"/>
    <m/>
    <s v=""/>
    <m/>
    <s v=""/>
    <n v="1"/>
    <n v="1"/>
  </r>
  <r>
    <x v="3"/>
    <x v="5"/>
    <n v="4"/>
    <n v="5"/>
    <n v="1"/>
    <n v="2"/>
    <m/>
    <s v=""/>
    <m/>
    <s v=""/>
    <n v="1"/>
    <n v="2"/>
  </r>
  <r>
    <x v="3"/>
    <x v="6"/>
    <n v="4"/>
    <n v="6"/>
    <n v="2"/>
    <n v="3"/>
    <m/>
    <s v=""/>
    <m/>
    <s v=""/>
    <n v="1"/>
    <n v="2"/>
  </r>
  <r>
    <x v="3"/>
    <x v="7"/>
    <n v="3"/>
    <n v="5"/>
    <n v="2"/>
    <n v="2"/>
    <m/>
    <s v=""/>
    <m/>
    <s v=""/>
    <n v="2"/>
    <n v="1"/>
  </r>
  <r>
    <x v="3"/>
    <x v="8"/>
    <n v="4"/>
    <n v="7"/>
    <n v="3"/>
    <n v="4"/>
    <m/>
    <s v=""/>
    <m/>
    <s v=""/>
    <n v="1"/>
    <n v="2"/>
  </r>
  <r>
    <x v="3"/>
    <x v="9"/>
    <n v="4"/>
    <n v="9"/>
    <n v="5"/>
    <n v="5"/>
    <s v="TO"/>
    <n v="1"/>
    <m/>
    <s v=""/>
    <n v="2"/>
    <n v="2"/>
  </r>
  <r>
    <x v="3"/>
    <x v="10"/>
    <n v="3"/>
    <n v="3"/>
    <n v="0"/>
    <n v="1"/>
    <m/>
    <s v=""/>
    <m/>
    <s v=""/>
    <n v="0"/>
    <n v="2"/>
  </r>
  <r>
    <x v="3"/>
    <x v="11"/>
    <n v="4"/>
    <n v="7"/>
    <n v="3"/>
    <n v="4"/>
    <s v="TR,B"/>
    <n v="2"/>
    <m/>
    <s v=""/>
    <n v="1"/>
    <n v="2"/>
  </r>
  <r>
    <x v="3"/>
    <x v="12"/>
    <n v="5"/>
    <n v="8"/>
    <n v="3"/>
    <n v="4"/>
    <s v="TO, TR"/>
    <n v="2"/>
    <m/>
    <s v=""/>
    <n v="1"/>
    <n v="3"/>
  </r>
  <r>
    <x v="3"/>
    <x v="13"/>
    <n v="4"/>
    <n v="6"/>
    <n v="2"/>
    <n v="4"/>
    <m/>
    <s v=""/>
    <m/>
    <s v=""/>
    <n v="1"/>
    <n v="1"/>
  </r>
  <r>
    <x v="3"/>
    <x v="14"/>
    <n v="4"/>
    <n v="6"/>
    <n v="2"/>
    <n v="3"/>
    <m/>
    <s v=""/>
    <m/>
    <s v=""/>
    <n v="1"/>
    <n v="2"/>
  </r>
  <r>
    <x v="3"/>
    <x v="15"/>
    <n v="3"/>
    <n v="5"/>
    <n v="2"/>
    <n v="3"/>
    <s v="TO,B"/>
    <n v="2"/>
    <m/>
    <s v=""/>
    <n v="1"/>
    <n v="1"/>
  </r>
  <r>
    <x v="3"/>
    <x v="16"/>
    <n v="4"/>
    <n v="6"/>
    <n v="2"/>
    <n v="3"/>
    <m/>
    <s v=""/>
    <m/>
    <s v=""/>
    <n v="1"/>
    <n v="2"/>
  </r>
  <r>
    <x v="3"/>
    <x v="17"/>
    <n v="5"/>
    <n v="8"/>
    <n v="3"/>
    <n v="4"/>
    <m/>
    <s v=""/>
    <m/>
    <s v=""/>
    <n v="2"/>
    <n v="2"/>
  </r>
  <r>
    <x v="4"/>
    <x v="0"/>
    <n v="5"/>
    <n v="9"/>
    <n v="4"/>
    <n v="4"/>
    <s v="TO"/>
    <n v="1"/>
    <m/>
    <s v=""/>
    <n v="2"/>
    <n v="3"/>
  </r>
  <r>
    <x v="4"/>
    <x v="1"/>
    <n v="3"/>
    <n v="4"/>
    <n v="1"/>
    <n v="1"/>
    <m/>
    <s v=""/>
    <m/>
    <s v=""/>
    <n v="1"/>
    <n v="2"/>
  </r>
  <r>
    <x v="4"/>
    <x v="2"/>
    <n v="4"/>
    <n v="6"/>
    <n v="2"/>
    <n v="3"/>
    <s v="TO, B"/>
    <n v="2"/>
    <m/>
    <s v=""/>
    <n v="1"/>
    <n v="2"/>
  </r>
  <r>
    <x v="4"/>
    <x v="3"/>
    <n v="4"/>
    <n v="6"/>
    <n v="2"/>
    <n v="3"/>
    <m/>
    <s v=""/>
    <m/>
    <s v=""/>
    <n v="1"/>
    <n v="2"/>
  </r>
  <r>
    <x v="4"/>
    <x v="4"/>
    <n v="5"/>
    <n v="8"/>
    <n v="3"/>
    <n v="4"/>
    <m/>
    <s v=""/>
    <m/>
    <s v=""/>
    <n v="1"/>
    <n v="3"/>
  </r>
  <r>
    <x v="4"/>
    <x v="5"/>
    <n v="4"/>
    <n v="8"/>
    <n v="4"/>
    <n v="3"/>
    <m/>
    <s v=""/>
    <m/>
    <s v=""/>
    <n v="2"/>
    <n v="3"/>
  </r>
  <r>
    <x v="4"/>
    <x v="6"/>
    <n v="4"/>
    <n v="7"/>
    <n v="3"/>
    <n v="4"/>
    <m/>
    <s v=""/>
    <m/>
    <s v=""/>
    <n v="1"/>
    <n v="2"/>
  </r>
  <r>
    <x v="4"/>
    <x v="7"/>
    <n v="3"/>
    <n v="4"/>
    <n v="1"/>
    <n v="1"/>
    <m/>
    <s v=""/>
    <m/>
    <s v=""/>
    <n v="0"/>
    <n v="3"/>
  </r>
  <r>
    <x v="4"/>
    <x v="8"/>
    <n v="4"/>
    <n v="6"/>
    <n v="2"/>
    <n v="3"/>
    <m/>
    <s v=""/>
    <m/>
    <s v=""/>
    <n v="1"/>
    <n v="2"/>
  </r>
  <r>
    <x v="4"/>
    <x v="9"/>
    <n v="4"/>
    <n v="8"/>
    <n v="4"/>
    <n v="4"/>
    <m/>
    <s v=""/>
    <m/>
    <s v=""/>
    <n v="2"/>
    <n v="2"/>
  </r>
  <r>
    <x v="4"/>
    <x v="10"/>
    <n v="3"/>
    <n v="5"/>
    <n v="2"/>
    <n v="1"/>
    <m/>
    <s v=""/>
    <m/>
    <s v=""/>
    <n v="1"/>
    <n v="3"/>
  </r>
  <r>
    <x v="4"/>
    <x v="11"/>
    <n v="4"/>
    <n v="8"/>
    <n v="4"/>
    <n v="4"/>
    <s v="TR"/>
    <n v="1"/>
    <m/>
    <s v=""/>
    <n v="2"/>
    <n v="2"/>
  </r>
  <r>
    <x v="4"/>
    <x v="12"/>
    <n v="5"/>
    <n v="8"/>
    <n v="3"/>
    <n v="5"/>
    <s v="B"/>
    <n v="1"/>
    <m/>
    <s v=""/>
    <n v="2"/>
    <n v="1"/>
  </r>
  <r>
    <x v="4"/>
    <x v="13"/>
    <n v="4"/>
    <n v="6"/>
    <n v="2"/>
    <n v="3"/>
    <m/>
    <s v=""/>
    <m/>
    <s v=""/>
    <n v="1"/>
    <n v="2"/>
  </r>
  <r>
    <x v="4"/>
    <x v="14"/>
    <n v="4"/>
    <n v="5"/>
    <n v="1"/>
    <n v="3"/>
    <m/>
    <s v=""/>
    <m/>
    <s v=""/>
    <n v="1"/>
    <n v="1"/>
  </r>
  <r>
    <x v="4"/>
    <x v="15"/>
    <n v="3"/>
    <n v="6"/>
    <n v="3"/>
    <n v="1"/>
    <m/>
    <s v=""/>
    <m/>
    <s v=""/>
    <n v="1"/>
    <n v="4"/>
  </r>
  <r>
    <x v="4"/>
    <x v="16"/>
    <n v="4"/>
    <n v="5"/>
    <n v="1"/>
    <n v="2"/>
    <m/>
    <s v=""/>
    <m/>
    <s v=""/>
    <n v="1"/>
    <n v="2"/>
  </r>
  <r>
    <x v="4"/>
    <x v="17"/>
    <n v="5"/>
    <n v="6"/>
    <n v="1"/>
    <n v="3"/>
    <m/>
    <s v=""/>
    <m/>
    <s v=""/>
    <n v="1"/>
    <n v="2"/>
  </r>
  <r>
    <x v="5"/>
    <x v="0"/>
    <n v="5"/>
    <n v="7"/>
    <n v="2"/>
    <n v="4"/>
    <m/>
    <s v=""/>
    <m/>
    <s v=""/>
    <n v="1"/>
    <n v="2"/>
  </r>
  <r>
    <x v="5"/>
    <x v="1"/>
    <n v="3"/>
    <n v="6"/>
    <n v="3"/>
    <n v="2"/>
    <m/>
    <s v=""/>
    <m/>
    <s v=""/>
    <n v="0"/>
    <n v="4"/>
  </r>
  <r>
    <x v="5"/>
    <x v="2"/>
    <n v="4"/>
    <n v="5"/>
    <n v="1"/>
    <n v="2"/>
    <m/>
    <s v=""/>
    <m/>
    <s v=""/>
    <n v="1"/>
    <n v="2"/>
  </r>
  <r>
    <x v="5"/>
    <x v="3"/>
    <n v="4"/>
    <n v="5"/>
    <n v="1"/>
    <n v="3"/>
    <m/>
    <s v=""/>
    <m/>
    <s v=""/>
    <n v="0"/>
    <n v="2"/>
  </r>
  <r>
    <x v="5"/>
    <x v="4"/>
    <n v="5"/>
    <n v="7"/>
    <n v="2"/>
    <n v="4"/>
    <m/>
    <s v=""/>
    <m/>
    <s v=""/>
    <n v="1"/>
    <n v="2"/>
  </r>
  <r>
    <x v="5"/>
    <x v="5"/>
    <n v="4"/>
    <n v="8"/>
    <n v="4"/>
    <n v="4"/>
    <s v="TO"/>
    <n v="1"/>
    <m/>
    <s v=""/>
    <n v="2"/>
    <n v="2"/>
  </r>
  <r>
    <x v="5"/>
    <x v="6"/>
    <n v="4"/>
    <n v="6"/>
    <n v="2"/>
    <n v="4"/>
    <m/>
    <s v=""/>
    <m/>
    <s v=""/>
    <n v="1"/>
    <n v="1"/>
  </r>
  <r>
    <x v="5"/>
    <x v="7"/>
    <n v="3"/>
    <n v="7"/>
    <n v="4"/>
    <n v="2"/>
    <m/>
    <s v=""/>
    <m/>
    <s v=""/>
    <n v="1"/>
    <n v="4"/>
  </r>
  <r>
    <x v="5"/>
    <x v="8"/>
    <n v="4"/>
    <n v="8"/>
    <n v="4"/>
    <n v="5"/>
    <s v="H"/>
    <n v="1"/>
    <m/>
    <s v=""/>
    <n v="1"/>
    <n v="2"/>
  </r>
  <r>
    <x v="5"/>
    <x v="9"/>
    <n v="4"/>
    <n v="7"/>
    <n v="3"/>
    <n v="4"/>
    <m/>
    <s v=""/>
    <m/>
    <s v=""/>
    <n v="1"/>
    <n v="2"/>
  </r>
  <r>
    <x v="5"/>
    <x v="10"/>
    <n v="3"/>
    <n v="5"/>
    <n v="2"/>
    <n v="1"/>
    <m/>
    <s v=""/>
    <m/>
    <s v=""/>
    <n v="1"/>
    <n v="3"/>
  </r>
  <r>
    <x v="5"/>
    <x v="11"/>
    <n v="4"/>
    <n v="7"/>
    <n v="3"/>
    <n v="3"/>
    <m/>
    <s v=""/>
    <m/>
    <s v=""/>
    <n v="1"/>
    <n v="3"/>
  </r>
  <r>
    <x v="5"/>
    <x v="12"/>
    <n v="5"/>
    <n v="6"/>
    <n v="1"/>
    <n v="4"/>
    <m/>
    <s v=""/>
    <m/>
    <s v=""/>
    <n v="1"/>
    <n v="1"/>
  </r>
  <r>
    <x v="5"/>
    <x v="13"/>
    <n v="4"/>
    <n v="5"/>
    <n v="1"/>
    <n v="2"/>
    <m/>
    <s v=""/>
    <m/>
    <s v=""/>
    <n v="1"/>
    <n v="2"/>
  </r>
  <r>
    <x v="5"/>
    <x v="14"/>
    <n v="4"/>
    <n v="8"/>
    <n v="4"/>
    <n v="4"/>
    <s v="TR"/>
    <n v="1"/>
    <m/>
    <s v=""/>
    <n v="1"/>
    <n v="3"/>
  </r>
  <r>
    <x v="5"/>
    <x v="15"/>
    <n v="3"/>
    <n v="4"/>
    <n v="1"/>
    <n v="1"/>
    <m/>
    <s v=""/>
    <m/>
    <s v=""/>
    <n v="1"/>
    <n v="2"/>
  </r>
  <r>
    <x v="5"/>
    <x v="16"/>
    <n v="4"/>
    <n v="6"/>
    <n v="2"/>
    <n v="2"/>
    <s v="B"/>
    <n v="1"/>
    <m/>
    <s v=""/>
    <n v="2"/>
    <n v="2"/>
  </r>
  <r>
    <x v="5"/>
    <x v="17"/>
    <n v="5"/>
    <n v="7"/>
    <n v="2"/>
    <n v="4"/>
    <m/>
    <s v=""/>
    <m/>
    <s v=""/>
    <n v="1"/>
    <n v="2"/>
  </r>
  <r>
    <x v="6"/>
    <x v="0"/>
    <n v="5"/>
    <n v="8"/>
    <n v="3"/>
    <n v="4"/>
    <m/>
    <s v=""/>
    <m/>
    <s v=""/>
    <n v="1"/>
    <n v="3"/>
  </r>
  <r>
    <x v="6"/>
    <x v="1"/>
    <n v="3"/>
    <n v="5"/>
    <n v="2"/>
    <n v="2"/>
    <s v="B"/>
    <n v="1"/>
    <m/>
    <s v=""/>
    <n v="2"/>
    <n v="1"/>
  </r>
  <r>
    <x v="6"/>
    <x v="2"/>
    <n v="4"/>
    <n v="9"/>
    <n v="5"/>
    <n v="4"/>
    <s v="B"/>
    <n v="1"/>
    <s v="OB"/>
    <n v="2"/>
    <n v="2"/>
    <n v="3"/>
  </r>
  <r>
    <x v="6"/>
    <x v="3"/>
    <n v="4"/>
    <n v="7"/>
    <n v="3"/>
    <n v="4"/>
    <s v="B"/>
    <n v="1"/>
    <s v="OB"/>
    <n v="2"/>
    <n v="1"/>
    <n v="2"/>
  </r>
  <r>
    <x v="6"/>
    <x v="4"/>
    <n v="5"/>
    <n v="6"/>
    <n v="1"/>
    <n v="3"/>
    <m/>
    <s v=""/>
    <m/>
    <s v=""/>
    <n v="1"/>
    <n v="2"/>
  </r>
  <r>
    <x v="6"/>
    <x v="5"/>
    <n v="4"/>
    <n v="7"/>
    <n v="3"/>
    <n v="3"/>
    <m/>
    <s v=""/>
    <m/>
    <s v=""/>
    <n v="2"/>
    <n v="2"/>
  </r>
  <r>
    <x v="6"/>
    <x v="6"/>
    <n v="4"/>
    <n v="5"/>
    <n v="1"/>
    <n v="2"/>
    <m/>
    <s v=""/>
    <m/>
    <s v=""/>
    <n v="0"/>
    <n v="3"/>
  </r>
  <r>
    <x v="6"/>
    <x v="7"/>
    <n v="3"/>
    <n v="7"/>
    <n v="4"/>
    <n v="1"/>
    <s v="H"/>
    <n v="1"/>
    <m/>
    <s v=""/>
    <n v="2"/>
    <n v="4"/>
  </r>
  <r>
    <x v="6"/>
    <x v="8"/>
    <n v="4"/>
    <n v="6"/>
    <n v="2"/>
    <n v="3"/>
    <m/>
    <s v=""/>
    <m/>
    <s v=""/>
    <n v="1"/>
    <n v="2"/>
  </r>
  <r>
    <x v="6"/>
    <x v="9"/>
    <n v="4"/>
    <n v="6"/>
    <n v="2"/>
    <n v="2"/>
    <m/>
    <s v=""/>
    <m/>
    <s v=""/>
    <n v="1"/>
    <n v="3"/>
  </r>
  <r>
    <x v="6"/>
    <x v="10"/>
    <n v="3"/>
    <n v="6"/>
    <n v="3"/>
    <n v="1"/>
    <m/>
    <s v=""/>
    <m/>
    <s v=""/>
    <n v="3"/>
    <n v="2"/>
  </r>
  <r>
    <x v="6"/>
    <x v="11"/>
    <n v="4"/>
    <n v="6"/>
    <n v="2"/>
    <n v="3"/>
    <m/>
    <s v=""/>
    <m/>
    <s v=""/>
    <n v="1"/>
    <n v="2"/>
  </r>
  <r>
    <x v="6"/>
    <x v="12"/>
    <n v="5"/>
    <n v="10"/>
    <n v="5"/>
    <n v="4"/>
    <s v="H, B"/>
    <n v="2"/>
    <m/>
    <s v=""/>
    <n v="1"/>
    <n v="5"/>
  </r>
  <r>
    <x v="6"/>
    <x v="13"/>
    <n v="4"/>
    <n v="8"/>
    <n v="4"/>
    <n v="3"/>
    <m/>
    <s v=""/>
    <m/>
    <s v=""/>
    <n v="3"/>
    <n v="2"/>
  </r>
  <r>
    <x v="6"/>
    <x v="14"/>
    <n v="4"/>
    <n v="7"/>
    <n v="3"/>
    <n v="3"/>
    <s v="B"/>
    <n v="1"/>
    <m/>
    <s v=""/>
    <n v="1"/>
    <n v="3"/>
  </r>
  <r>
    <x v="6"/>
    <x v="15"/>
    <n v="3"/>
    <n v="4"/>
    <n v="1"/>
    <n v="1"/>
    <m/>
    <s v=""/>
    <m/>
    <s v=""/>
    <n v="2"/>
    <n v="1"/>
  </r>
  <r>
    <x v="6"/>
    <x v="16"/>
    <n v="4"/>
    <n v="7"/>
    <n v="3"/>
    <n v="5"/>
    <s v="B"/>
    <n v="1"/>
    <m/>
    <s v=""/>
    <n v="1"/>
    <n v="1"/>
  </r>
  <r>
    <x v="6"/>
    <x v="17"/>
    <n v="5"/>
    <n v="8"/>
    <n v="3"/>
    <n v="3"/>
    <s v="B"/>
    <n v="1"/>
    <m/>
    <s v=""/>
    <n v="2"/>
    <n v="3"/>
  </r>
  <r>
    <x v="7"/>
    <x v="0"/>
    <n v="5"/>
    <n v="11"/>
    <n v="6"/>
    <n v="7"/>
    <s v="TO"/>
    <n v="1"/>
    <m/>
    <s v=""/>
    <n v="2"/>
    <n v="2"/>
  </r>
  <r>
    <x v="7"/>
    <x v="1"/>
    <n v="3"/>
    <n v="6"/>
    <n v="3"/>
    <n v="2"/>
    <m/>
    <s v=""/>
    <m/>
    <s v=""/>
    <n v="1"/>
    <n v="3"/>
  </r>
  <r>
    <x v="7"/>
    <x v="2"/>
    <n v="4"/>
    <n v="6"/>
    <n v="2"/>
    <n v="3"/>
    <m/>
    <s v=""/>
    <m/>
    <s v=""/>
    <n v="1"/>
    <n v="2"/>
  </r>
  <r>
    <x v="7"/>
    <x v="3"/>
    <n v="4"/>
    <n v="6"/>
    <n v="2"/>
    <n v="3"/>
    <m/>
    <s v=""/>
    <m/>
    <s v=""/>
    <n v="1"/>
    <n v="2"/>
  </r>
  <r>
    <x v="7"/>
    <x v="4"/>
    <n v="5"/>
    <n v="7"/>
    <n v="2"/>
    <n v="3"/>
    <m/>
    <s v=""/>
    <m/>
    <s v=""/>
    <n v="1"/>
    <n v="3"/>
  </r>
  <r>
    <x v="7"/>
    <x v="5"/>
    <n v="4"/>
    <n v="9"/>
    <n v="5"/>
    <n v="3"/>
    <m/>
    <s v=""/>
    <m/>
    <s v=""/>
    <n v="3"/>
    <n v="3"/>
  </r>
  <r>
    <x v="7"/>
    <x v="6"/>
    <n v="4"/>
    <n v="6"/>
    <n v="2"/>
    <n v="3"/>
    <m/>
    <s v=""/>
    <m/>
    <s v=""/>
    <n v="1"/>
    <n v="2"/>
  </r>
  <r>
    <x v="7"/>
    <x v="7"/>
    <n v="3"/>
    <n v="4"/>
    <n v="1"/>
    <n v="1"/>
    <m/>
    <s v=""/>
    <m/>
    <s v=""/>
    <n v="1"/>
    <n v="2"/>
  </r>
  <r>
    <x v="7"/>
    <x v="8"/>
    <n v="4"/>
    <n v="7"/>
    <n v="3"/>
    <n v="3"/>
    <s v="TO"/>
    <n v="1"/>
    <m/>
    <s v=""/>
    <n v="2"/>
    <n v="2"/>
  </r>
  <r>
    <x v="7"/>
    <x v="9"/>
    <n v="4"/>
    <n v="8"/>
    <n v="4"/>
    <n v="4"/>
    <m/>
    <s v=""/>
    <m/>
    <s v=""/>
    <n v="2"/>
    <n v="2"/>
  </r>
  <r>
    <x v="7"/>
    <x v="10"/>
    <n v="3"/>
    <n v="4"/>
    <n v="1"/>
    <n v="1"/>
    <m/>
    <s v=""/>
    <m/>
    <s v=""/>
    <n v="0"/>
    <n v="3"/>
  </r>
  <r>
    <x v="7"/>
    <x v="11"/>
    <n v="4"/>
    <n v="7"/>
    <n v="3"/>
    <n v="3"/>
    <m/>
    <s v=""/>
    <m/>
    <s v=""/>
    <n v="2"/>
    <n v="2"/>
  </r>
  <r>
    <x v="7"/>
    <x v="12"/>
    <n v="5"/>
    <n v="9"/>
    <n v="4"/>
    <n v="6"/>
    <m/>
    <s v=""/>
    <s v="OB, OB,"/>
    <n v="4"/>
    <n v="0"/>
    <n v="3"/>
  </r>
  <r>
    <x v="7"/>
    <x v="13"/>
    <n v="4"/>
    <n v="4"/>
    <n v="0"/>
    <n v="2"/>
    <m/>
    <s v=""/>
    <m/>
    <s v=""/>
    <n v="1"/>
    <n v="1"/>
  </r>
  <r>
    <x v="7"/>
    <x v="14"/>
    <n v="4"/>
    <n v="6"/>
    <n v="2"/>
    <n v="3"/>
    <m/>
    <s v=""/>
    <m/>
    <s v=""/>
    <n v="2"/>
    <n v="1"/>
  </r>
  <r>
    <x v="7"/>
    <x v="15"/>
    <n v="3"/>
    <n v="5"/>
    <n v="2"/>
    <n v="2"/>
    <s v="B"/>
    <n v="1"/>
    <m/>
    <s v=""/>
    <n v="1"/>
    <n v="2"/>
  </r>
  <r>
    <x v="7"/>
    <x v="16"/>
    <n v="4"/>
    <n v="6"/>
    <n v="2"/>
    <n v="2"/>
    <m/>
    <s v=""/>
    <m/>
    <s v=""/>
    <n v="1"/>
    <n v="3"/>
  </r>
  <r>
    <x v="7"/>
    <x v="17"/>
    <n v="5"/>
    <n v="11"/>
    <n v="6"/>
    <n v="7"/>
    <m/>
    <s v=""/>
    <m/>
    <s v=""/>
    <n v="1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6E190F-B5A6-4333-A3C3-0931F15F8364}" name="PivotTable2" cacheId="162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30">
  <location ref="A2:C10" firstHeaderRow="0" firstDataRow="1" firstDataCol="1"/>
  <pivotFields count="16">
    <pivotField axis="axisRow" showAll="0" sortType="ascending">
      <items count="15">
        <item x="0"/>
        <item x="1"/>
        <item x="2"/>
        <item x="3"/>
        <item x="4"/>
        <item x="5"/>
        <item x="6"/>
        <item x="7"/>
        <item m="1" x="8"/>
        <item m="1" x="11"/>
        <item m="1" x="13"/>
        <item m="1" x="12"/>
        <item m="1" x="10"/>
        <item m="1" x="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Total Score " fld="3" baseField="0" baseItem="0"/>
    <dataField name="Target Score " fld="15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C7D39-2C9F-4181-BB33-25208280A16B}" name="PivotTable3" cacheId="1616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1">
  <location ref="A1:C19" firstHeaderRow="0" firstDataRow="1" firstDataCol="1"/>
  <pivotFields count="13">
    <pivotField showAll="0"/>
    <pivotField axis="axisRow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h="1" x="18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Average Strokes " fld="3" subtotal="average" baseField="1" baseItem="0"/>
    <dataField name="Par " fld="2" subtotal="average" baseField="1" baseItem="0"/>
  </dataFields>
  <formats count="1">
    <format dxfId="17">
      <pivotArea collapsedLevelsAreSubtotals="1" fieldPosition="0">
        <references count="1">
          <reference field="1" count="0"/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270C24-9556-47FD-AEE9-BEE4F144BEAC}" name="PivotTable4" cacheId="162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1:B19" firstHeaderRow="1" firstDataRow="1" firstDataCol="1"/>
  <pivotFields count="16">
    <pivotField showAll="0">
      <items count="15">
        <item x="0"/>
        <item x="1"/>
        <item x="2"/>
        <item x="3"/>
        <item x="4"/>
        <item x="5"/>
        <item x="6"/>
        <item x="7"/>
        <item m="1" x="8"/>
        <item m="1" x="11"/>
        <item m="1" x="12"/>
        <item m="1" x="13"/>
        <item m="1" x="9"/>
        <item m="1" x="10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Average of Chips" fld="10" subtotal="average" baseField="1" baseItem="7"/>
  </dataFields>
  <formats count="1">
    <format dxfId="15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5A95B9-894D-4D0E-A03E-0F9956675068}" name="PivotTable102" cacheId="162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1:B19" firstHeaderRow="1" firstDataRow="1" firstDataCol="1"/>
  <pivotFields count="16">
    <pivotField showAll="0">
      <items count="15">
        <item x="0"/>
        <item x="1"/>
        <item x="2"/>
        <item x="3"/>
        <item x="4"/>
        <item x="5"/>
        <item x="6"/>
        <item x="7"/>
        <item m="1" x="8"/>
        <item m="1" x="11"/>
        <item m="1" x="12"/>
        <item m="1" x="13"/>
        <item m="1" x="9"/>
        <item m="1" x="10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dataFields count="1">
    <dataField name="Average of Putts" fld="11" subtotal="average" baseField="1" baseItem="9"/>
  </dataFields>
  <formats count="1">
    <format dxfId="16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AA9B79-79B1-42AF-9F2F-81FDDC328095}" name="PivotTable8" cacheId="162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D11" firstHeaderRow="0" firstDataRow="1" firstDataCol="1"/>
  <pivotFields count="16">
    <pivotField axis="axisRow" numFmtId="14" showAll="0">
      <items count="15">
        <item x="0"/>
        <item x="1"/>
        <item x="2"/>
        <item x="3"/>
        <item x="4"/>
        <item x="5"/>
        <item x="6"/>
        <item x="7"/>
        <item m="1" x="8"/>
        <item m="1" x="11"/>
        <item m="1" x="13"/>
        <item m="1" x="12"/>
        <item m="1" x="9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ut of Bounds ( +2)" fld="9" baseField="1" baseItem="0"/>
    <dataField name="Sum of Total Mistakes (+1)" fld="7" baseField="1" baseItem="0"/>
    <dataField name="Sum of Total Mistakes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E40388-6FB4-4825-B817-DBAFE881360B}" name="Table2" displayName="Table2" ref="A1:L145" totalsRowShown="0" headerRowDxfId="1" dataDxfId="2">
  <autoFilter ref="A1:L145" xr:uid="{6CE40388-6FB4-4825-B817-DBAFE881360B}"/>
  <tableColumns count="12">
    <tableColumn id="1" xr3:uid="{B5B245B4-6EE0-4ADA-BFE9-37ADF715F973}" name="Date" dataDxfId="14"/>
    <tableColumn id="2" xr3:uid="{A60BF8CD-1902-4B5B-B678-C388E1C2356B}" name="Hole" dataDxfId="13"/>
    <tableColumn id="3" xr3:uid="{609EDDE9-9296-4F1F-B786-8B70FDD2404A}" name="Par" dataDxfId="12"/>
    <tableColumn id="4" xr3:uid="{7F791196-A0B7-4C24-92E3-1E9554D9745A}" name="Strokes" dataDxfId="11"/>
    <tableColumn id="5" xr3:uid="{8D5F6050-ADF8-4AEA-BB8E-1EE088880F1E}" name="Plus/Minus" dataDxfId="10">
      <calculatedColumnFormula>D2-C2</calculatedColumnFormula>
    </tableColumn>
    <tableColumn id="6" xr3:uid="{6FD33E02-5D3D-47D8-A4A5-F6654E7A621F}" name="D/H/I" dataDxfId="9">
      <calculatedColumnFormula>D2-K2-L2</calculatedColumnFormula>
    </tableColumn>
    <tableColumn id="7" xr3:uid="{31C7E276-86A8-4E9F-B80E-DF0721EDE14C}" name="Mistakes (excluding OB)" dataDxfId="8"/>
    <tableColumn id="8" xr3:uid="{2038E070-9CB9-4BA0-BA9C-0C3823FB3F16}" name="Total Mistakes (+1)" dataDxfId="7">
      <calculatedColumnFormula>IF(ISBLANK(G2),"",LEN(TRIM(G2))-LEN(SUBSTITUTE(TRIM(G2),",",""))+1)</calculatedColumnFormula>
    </tableColumn>
    <tableColumn id="9" xr3:uid="{3C40E14C-93AD-4955-84C5-D3443AF324B6}" name="Mistakes" dataDxfId="6"/>
    <tableColumn id="10" xr3:uid="{91AB536D-296E-401C-9240-ECFE7B7B7C81}" name="Out of Bounds ( +2)" dataDxfId="5">
      <calculatedColumnFormula>IF(ISBLANK(I2),"",LEN(TRIM(I2))-LEN(SUBSTITUTE(TRIM(I2),",",""))+2)</calculatedColumnFormula>
    </tableColumn>
    <tableColumn id="11" xr3:uid="{3F4ACB89-06FA-48D7-8CDB-A606EC95FDE0}" name="Chips" dataDxfId="4"/>
    <tableColumn id="12" xr3:uid="{084A2C60-A603-4898-A2E5-2560C50C81AD}" name="Putts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F0000"/>
      </a:accent1>
      <a:accent2>
        <a:srgbClr val="FFC000"/>
      </a:accent2>
      <a:accent3>
        <a:srgbClr val="7030A0"/>
      </a:accent3>
      <a:accent4>
        <a:srgbClr val="92D050"/>
      </a:accent4>
      <a:accent5>
        <a:srgbClr val="00B0F0"/>
      </a:accent5>
      <a:accent6>
        <a:srgbClr val="FE66FF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D3B9F-57AA-4F85-803B-5DB0C6106494}">
  <sheetPr codeName="Sheet1"/>
  <dimension ref="B4:D5"/>
  <sheetViews>
    <sheetView showGridLines="0" tabSelected="1" zoomScale="60" zoomScaleNormal="60" workbookViewId="0">
      <selection activeCell="AB26" sqref="AB26"/>
    </sheetView>
  </sheetViews>
  <sheetFormatPr defaultRowHeight="15" x14ac:dyDescent="0.25"/>
  <cols>
    <col min="1" max="1" width="28.42578125" style="14" bestFit="1" customWidth="1"/>
    <col min="2" max="3" width="24.7109375" style="14" bestFit="1" customWidth="1"/>
    <col min="4" max="5" width="24.28515625" style="14" bestFit="1" customWidth="1"/>
    <col min="6" max="6" width="9.140625" style="14" customWidth="1"/>
    <col min="7" max="7" width="9.140625" style="14"/>
    <col min="8" max="8" width="9.140625" style="14" customWidth="1"/>
    <col min="9" max="16384" width="9.140625" style="14"/>
  </cols>
  <sheetData>
    <row r="4" spans="2:4" x14ac:dyDescent="0.25">
      <c r="B4" s="15"/>
      <c r="D4" s="15"/>
    </row>
    <row r="5" spans="2:4" x14ac:dyDescent="0.25">
      <c r="B5" s="15"/>
      <c r="D5" s="1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683-3DA2-4598-832E-038CE4AA9502}">
  <sheetPr codeName="Sheet2"/>
  <dimension ref="A1:N22"/>
  <sheetViews>
    <sheetView workbookViewId="0">
      <selection activeCell="O23" sqref="O23"/>
    </sheetView>
  </sheetViews>
  <sheetFormatPr defaultRowHeight="15" x14ac:dyDescent="0.25"/>
  <cols>
    <col min="1" max="1" width="13.140625" bestFit="1" customWidth="1"/>
    <col min="2" max="2" width="11.140625" bestFit="1" customWidth="1"/>
    <col min="3" max="3" width="12.28515625" bestFit="1" customWidth="1"/>
    <col min="14" max="14" width="23.7109375" bestFit="1" customWidth="1"/>
  </cols>
  <sheetData>
    <row r="1" spans="1:14" x14ac:dyDescent="0.25">
      <c r="N1" t="s">
        <v>36</v>
      </c>
    </row>
    <row r="2" spans="1:14" x14ac:dyDescent="0.25">
      <c r="A2" s="5" t="s">
        <v>26</v>
      </c>
      <c r="B2" t="s">
        <v>64</v>
      </c>
      <c r="C2" t="s">
        <v>65</v>
      </c>
      <c r="N2">
        <f>COUNT(A:A)</f>
        <v>8</v>
      </c>
    </row>
    <row r="3" spans="1:14" x14ac:dyDescent="0.25">
      <c r="A3" s="4">
        <v>44949</v>
      </c>
      <c r="B3" s="9">
        <v>117</v>
      </c>
      <c r="C3" s="9">
        <v>100</v>
      </c>
      <c r="N3" t="s">
        <v>37</v>
      </c>
    </row>
    <row r="4" spans="1:14" x14ac:dyDescent="0.25">
      <c r="A4" s="4">
        <v>44963</v>
      </c>
      <c r="B4" s="9">
        <v>116</v>
      </c>
      <c r="C4" s="9">
        <v>100</v>
      </c>
      <c r="N4">
        <f>SUM(B:B)</f>
        <v>941</v>
      </c>
    </row>
    <row r="5" spans="1:14" x14ac:dyDescent="0.25">
      <c r="A5" s="4">
        <v>44971</v>
      </c>
      <c r="B5" s="9">
        <v>121</v>
      </c>
      <c r="C5" s="9">
        <v>100</v>
      </c>
      <c r="N5" t="s">
        <v>35</v>
      </c>
    </row>
    <row r="6" spans="1:14" x14ac:dyDescent="0.25">
      <c r="A6" s="4">
        <v>45019</v>
      </c>
      <c r="B6" s="9">
        <v>114</v>
      </c>
      <c r="C6" s="9">
        <v>100</v>
      </c>
      <c r="N6" s="1">
        <f>N4/N2</f>
        <v>117.625</v>
      </c>
    </row>
    <row r="7" spans="1:14" x14ac:dyDescent="0.25">
      <c r="A7" s="4">
        <v>45033</v>
      </c>
      <c r="B7" s="9">
        <v>115</v>
      </c>
      <c r="C7" s="9">
        <v>100</v>
      </c>
      <c r="N7" t="s">
        <v>61</v>
      </c>
    </row>
    <row r="8" spans="1:14" x14ac:dyDescent="0.25">
      <c r="A8" s="4">
        <v>45047</v>
      </c>
      <c r="B8" s="9">
        <v>114</v>
      </c>
      <c r="C8" s="9">
        <v>100</v>
      </c>
      <c r="N8">
        <v>100</v>
      </c>
    </row>
    <row r="9" spans="1:14" x14ac:dyDescent="0.25">
      <c r="A9" s="4">
        <v>45068</v>
      </c>
      <c r="B9" s="9">
        <v>122</v>
      </c>
      <c r="C9" s="9">
        <v>100</v>
      </c>
      <c r="N9" t="s">
        <v>62</v>
      </c>
    </row>
    <row r="10" spans="1:14" x14ac:dyDescent="0.25">
      <c r="A10" s="4">
        <v>45075</v>
      </c>
      <c r="B10" s="9">
        <v>122</v>
      </c>
      <c r="C10" s="9">
        <v>100</v>
      </c>
      <c r="N10" s="16">
        <f>(N6-N8)/N8</f>
        <v>0.17624999999999999</v>
      </c>
    </row>
    <row r="22" spans="1:1" x14ac:dyDescent="0.25">
      <c r="A22" s="10"/>
    </row>
  </sheetData>
  <conditionalFormatting sqref="A2:B2 A3:A10">
    <cfRule type="containsBlanks" dxfId="0" priority="2">
      <formula>LEN(TRIM(A2))=0</formula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38741FD-9EA0-4282-AFCA-CDD1E6955E2A}">
            <x14:iconSet iconSet="3Triangles" reverse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N10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AC694-90FD-4165-8A1F-11C845092739}">
  <sheetPr codeName="Sheet3"/>
  <dimension ref="A1:I19"/>
  <sheetViews>
    <sheetView workbookViewId="0">
      <selection activeCell="T13" sqref="T13"/>
    </sheetView>
  </sheetViews>
  <sheetFormatPr defaultRowHeight="15" x14ac:dyDescent="0.25"/>
  <cols>
    <col min="1" max="1" width="13.140625" bestFit="1" customWidth="1"/>
    <col min="2" max="2" width="15.85546875" bestFit="1" customWidth="1"/>
    <col min="3" max="3" width="4.5703125" bestFit="1" customWidth="1"/>
    <col min="4" max="4" width="11" bestFit="1" customWidth="1"/>
    <col min="5" max="5" width="5.140625" bestFit="1" customWidth="1"/>
    <col min="6" max="6" width="10.5703125" bestFit="1" customWidth="1"/>
    <col min="7" max="8" width="15.7109375" bestFit="1" customWidth="1"/>
    <col min="9" max="9" width="11.5703125" bestFit="1" customWidth="1"/>
  </cols>
  <sheetData>
    <row r="1" spans="1:9" x14ac:dyDescent="0.25">
      <c r="A1" s="5" t="s">
        <v>26</v>
      </c>
      <c r="B1" t="s">
        <v>34</v>
      </c>
      <c r="C1" t="s">
        <v>33</v>
      </c>
      <c r="D1" t="s">
        <v>17</v>
      </c>
      <c r="E1" t="s">
        <v>2</v>
      </c>
      <c r="F1" t="s">
        <v>29</v>
      </c>
      <c r="G1" t="s">
        <v>30</v>
      </c>
      <c r="H1" t="s">
        <v>31</v>
      </c>
      <c r="I1" t="s">
        <v>32</v>
      </c>
    </row>
    <row r="2" spans="1:9" x14ac:dyDescent="0.25">
      <c r="A2" s="3">
        <v>1</v>
      </c>
      <c r="B2" s="1">
        <v>8.625</v>
      </c>
      <c r="C2" s="1">
        <v>5</v>
      </c>
      <c r="D2" s="1">
        <f t="shared" ref="D2:D19" si="0">B2-C2</f>
        <v>3.625</v>
      </c>
      <c r="E2">
        <v>1</v>
      </c>
      <c r="F2" t="str">
        <f t="shared" ref="F2:F19" si="1">IF($D2&lt;=1,$D2,"")</f>
        <v/>
      </c>
      <c r="G2" t="str">
        <f t="shared" ref="G2:G19" si="2">IF(AND($D2 &gt;= 1, $D2 &lt; 2),$D2,"")</f>
        <v/>
      </c>
      <c r="H2" t="str">
        <f t="shared" ref="H2:H19" si="3">IF(AND($D2 &gt;= 2, $D2 &lt; 3),$D2,"")</f>
        <v/>
      </c>
      <c r="I2">
        <f t="shared" ref="I2:I19" si="4">IF($D2 &gt;= 3,$D2,"")</f>
        <v>3.625</v>
      </c>
    </row>
    <row r="3" spans="1:9" x14ac:dyDescent="0.25">
      <c r="A3" s="3">
        <v>2</v>
      </c>
      <c r="B3" s="1">
        <v>5.5</v>
      </c>
      <c r="C3" s="1">
        <v>3</v>
      </c>
      <c r="D3" s="1">
        <f t="shared" si="0"/>
        <v>2.5</v>
      </c>
      <c r="E3">
        <v>2</v>
      </c>
      <c r="F3" t="str">
        <f t="shared" si="1"/>
        <v/>
      </c>
      <c r="G3" t="str">
        <f t="shared" si="2"/>
        <v/>
      </c>
      <c r="H3">
        <f t="shared" si="3"/>
        <v>2.5</v>
      </c>
      <c r="I3" t="str">
        <f t="shared" si="4"/>
        <v/>
      </c>
    </row>
    <row r="4" spans="1:9" x14ac:dyDescent="0.25">
      <c r="A4" s="3">
        <v>3</v>
      </c>
      <c r="B4" s="1">
        <v>6.25</v>
      </c>
      <c r="C4" s="1">
        <v>4</v>
      </c>
      <c r="D4" s="1">
        <f t="shared" si="0"/>
        <v>2.25</v>
      </c>
      <c r="E4">
        <v>3</v>
      </c>
      <c r="F4" t="str">
        <f t="shared" si="1"/>
        <v/>
      </c>
      <c r="G4" t="str">
        <f t="shared" si="2"/>
        <v/>
      </c>
      <c r="H4">
        <f t="shared" si="3"/>
        <v>2.25</v>
      </c>
      <c r="I4" t="str">
        <f t="shared" si="4"/>
        <v/>
      </c>
    </row>
    <row r="5" spans="1:9" x14ac:dyDescent="0.25">
      <c r="A5" s="3">
        <v>4</v>
      </c>
      <c r="B5" s="1">
        <v>5.875</v>
      </c>
      <c r="C5" s="1">
        <v>4</v>
      </c>
      <c r="D5" s="1">
        <f t="shared" si="0"/>
        <v>1.875</v>
      </c>
      <c r="E5">
        <v>4</v>
      </c>
      <c r="F5" t="str">
        <f t="shared" si="1"/>
        <v/>
      </c>
      <c r="G5">
        <f t="shared" si="2"/>
        <v>1.875</v>
      </c>
      <c r="H5" t="str">
        <f t="shared" si="3"/>
        <v/>
      </c>
      <c r="I5" t="str">
        <f t="shared" si="4"/>
        <v/>
      </c>
    </row>
    <row r="6" spans="1:9" x14ac:dyDescent="0.25">
      <c r="A6" s="3">
        <v>5</v>
      </c>
      <c r="B6" s="1">
        <v>7</v>
      </c>
      <c r="C6" s="1">
        <v>5</v>
      </c>
      <c r="D6" s="1">
        <f t="shared" si="0"/>
        <v>2</v>
      </c>
      <c r="E6">
        <v>5</v>
      </c>
      <c r="F6" t="str">
        <f t="shared" si="1"/>
        <v/>
      </c>
      <c r="G6" t="str">
        <f t="shared" si="2"/>
        <v/>
      </c>
      <c r="H6">
        <f t="shared" si="3"/>
        <v>2</v>
      </c>
      <c r="I6" t="str">
        <f t="shared" si="4"/>
        <v/>
      </c>
    </row>
    <row r="7" spans="1:9" x14ac:dyDescent="0.25">
      <c r="A7" s="3">
        <v>6</v>
      </c>
      <c r="B7" s="1">
        <v>7.5</v>
      </c>
      <c r="C7" s="1">
        <v>4</v>
      </c>
      <c r="D7" s="1">
        <f t="shared" si="0"/>
        <v>3.5</v>
      </c>
      <c r="E7">
        <v>6</v>
      </c>
      <c r="F7" t="str">
        <f t="shared" si="1"/>
        <v/>
      </c>
      <c r="G7" t="str">
        <f t="shared" si="2"/>
        <v/>
      </c>
      <c r="H7" t="str">
        <f t="shared" si="3"/>
        <v/>
      </c>
      <c r="I7">
        <f t="shared" si="4"/>
        <v>3.5</v>
      </c>
    </row>
    <row r="8" spans="1:9" x14ac:dyDescent="0.25">
      <c r="A8" s="3">
        <v>7</v>
      </c>
      <c r="B8" s="1">
        <v>6.375</v>
      </c>
      <c r="C8" s="1">
        <v>4</v>
      </c>
      <c r="D8" s="1">
        <f t="shared" si="0"/>
        <v>2.375</v>
      </c>
      <c r="E8">
        <v>7</v>
      </c>
      <c r="F8" t="str">
        <f t="shared" si="1"/>
        <v/>
      </c>
      <c r="G8" t="str">
        <f t="shared" si="2"/>
        <v/>
      </c>
      <c r="H8">
        <f t="shared" si="3"/>
        <v>2.375</v>
      </c>
      <c r="I8" t="str">
        <f t="shared" si="4"/>
        <v/>
      </c>
    </row>
    <row r="9" spans="1:9" x14ac:dyDescent="0.25">
      <c r="A9" s="3">
        <v>8</v>
      </c>
      <c r="B9" s="1">
        <v>5.25</v>
      </c>
      <c r="C9" s="1">
        <v>3</v>
      </c>
      <c r="D9" s="1">
        <f t="shared" si="0"/>
        <v>2.25</v>
      </c>
      <c r="E9">
        <v>8</v>
      </c>
      <c r="F9" t="str">
        <f t="shared" si="1"/>
        <v/>
      </c>
      <c r="G9" t="str">
        <f t="shared" si="2"/>
        <v/>
      </c>
      <c r="H9">
        <f t="shared" si="3"/>
        <v>2.25</v>
      </c>
      <c r="I9" t="str">
        <f t="shared" si="4"/>
        <v/>
      </c>
    </row>
    <row r="10" spans="1:9" x14ac:dyDescent="0.25">
      <c r="A10" s="3">
        <v>9</v>
      </c>
      <c r="B10" s="1">
        <v>6.875</v>
      </c>
      <c r="C10" s="1">
        <v>4</v>
      </c>
      <c r="D10" s="1">
        <f t="shared" si="0"/>
        <v>2.875</v>
      </c>
      <c r="E10">
        <v>9</v>
      </c>
      <c r="F10" t="str">
        <f t="shared" si="1"/>
        <v/>
      </c>
      <c r="G10" t="str">
        <f t="shared" si="2"/>
        <v/>
      </c>
      <c r="H10">
        <f t="shared" si="3"/>
        <v>2.875</v>
      </c>
      <c r="I10" t="str">
        <f t="shared" si="4"/>
        <v/>
      </c>
    </row>
    <row r="11" spans="1:9" x14ac:dyDescent="0.25">
      <c r="A11" s="3">
        <v>10</v>
      </c>
      <c r="B11" s="1">
        <v>7.375</v>
      </c>
      <c r="C11" s="1">
        <v>4</v>
      </c>
      <c r="D11" s="1">
        <f t="shared" si="0"/>
        <v>3.375</v>
      </c>
      <c r="E11">
        <v>10</v>
      </c>
      <c r="F11" t="str">
        <f t="shared" si="1"/>
        <v/>
      </c>
      <c r="G11" t="str">
        <f t="shared" si="2"/>
        <v/>
      </c>
      <c r="H11" t="str">
        <f t="shared" si="3"/>
        <v/>
      </c>
      <c r="I11">
        <f t="shared" si="4"/>
        <v>3.375</v>
      </c>
    </row>
    <row r="12" spans="1:9" x14ac:dyDescent="0.25">
      <c r="A12" s="3">
        <v>11</v>
      </c>
      <c r="B12" s="1">
        <v>4.625</v>
      </c>
      <c r="C12" s="1">
        <v>3</v>
      </c>
      <c r="D12" s="1">
        <f t="shared" si="0"/>
        <v>1.625</v>
      </c>
      <c r="E12">
        <v>11</v>
      </c>
      <c r="F12" t="str">
        <f t="shared" si="1"/>
        <v/>
      </c>
      <c r="G12">
        <f t="shared" si="2"/>
        <v>1.625</v>
      </c>
      <c r="H12" t="str">
        <f t="shared" si="3"/>
        <v/>
      </c>
      <c r="I12" t="str">
        <f t="shared" si="4"/>
        <v/>
      </c>
    </row>
    <row r="13" spans="1:9" x14ac:dyDescent="0.25">
      <c r="A13" s="3">
        <v>12</v>
      </c>
      <c r="B13" s="1">
        <v>6.875</v>
      </c>
      <c r="C13" s="1">
        <v>4</v>
      </c>
      <c r="D13" s="1">
        <f t="shared" si="0"/>
        <v>2.875</v>
      </c>
      <c r="E13">
        <v>12</v>
      </c>
      <c r="F13" t="str">
        <f t="shared" si="1"/>
        <v/>
      </c>
      <c r="G13" t="str">
        <f t="shared" si="2"/>
        <v/>
      </c>
      <c r="H13">
        <f t="shared" si="3"/>
        <v>2.875</v>
      </c>
      <c r="I13" t="str">
        <f t="shared" si="4"/>
        <v/>
      </c>
    </row>
    <row r="14" spans="1:9" x14ac:dyDescent="0.25">
      <c r="A14" s="3">
        <v>13</v>
      </c>
      <c r="B14" s="1">
        <v>7.625</v>
      </c>
      <c r="C14" s="1">
        <v>5</v>
      </c>
      <c r="D14" s="1">
        <f t="shared" si="0"/>
        <v>2.625</v>
      </c>
      <c r="E14">
        <v>13</v>
      </c>
      <c r="F14" t="str">
        <f t="shared" si="1"/>
        <v/>
      </c>
      <c r="G14" t="str">
        <f t="shared" si="2"/>
        <v/>
      </c>
      <c r="H14">
        <f t="shared" si="3"/>
        <v>2.625</v>
      </c>
      <c r="I14" t="str">
        <f t="shared" si="4"/>
        <v/>
      </c>
    </row>
    <row r="15" spans="1:9" x14ac:dyDescent="0.25">
      <c r="A15" s="3">
        <v>14</v>
      </c>
      <c r="B15" s="1">
        <v>6.25</v>
      </c>
      <c r="C15" s="1">
        <v>4</v>
      </c>
      <c r="D15" s="1">
        <f t="shared" si="0"/>
        <v>2.25</v>
      </c>
      <c r="E15">
        <v>14</v>
      </c>
      <c r="F15" t="str">
        <f t="shared" si="1"/>
        <v/>
      </c>
      <c r="G15" t="str">
        <f t="shared" si="2"/>
        <v/>
      </c>
      <c r="H15">
        <f t="shared" si="3"/>
        <v>2.25</v>
      </c>
      <c r="I15" t="str">
        <f t="shared" si="4"/>
        <v/>
      </c>
    </row>
    <row r="16" spans="1:9" x14ac:dyDescent="0.25">
      <c r="A16" s="3">
        <v>15</v>
      </c>
      <c r="B16" s="1">
        <v>6.5</v>
      </c>
      <c r="C16" s="1">
        <v>4</v>
      </c>
      <c r="D16" s="1">
        <f t="shared" si="0"/>
        <v>2.5</v>
      </c>
      <c r="E16">
        <v>15</v>
      </c>
      <c r="F16" t="str">
        <f t="shared" si="1"/>
        <v/>
      </c>
      <c r="G16" t="str">
        <f t="shared" si="2"/>
        <v/>
      </c>
      <c r="H16">
        <f t="shared" si="3"/>
        <v>2.5</v>
      </c>
      <c r="I16" t="str">
        <f t="shared" si="4"/>
        <v/>
      </c>
    </row>
    <row r="17" spans="1:9" x14ac:dyDescent="0.25">
      <c r="A17" s="3">
        <v>16</v>
      </c>
      <c r="B17" s="1">
        <v>4.625</v>
      </c>
      <c r="C17" s="1">
        <v>3</v>
      </c>
      <c r="D17" s="1">
        <f t="shared" si="0"/>
        <v>1.625</v>
      </c>
      <c r="E17">
        <v>16</v>
      </c>
      <c r="F17" t="str">
        <f t="shared" si="1"/>
        <v/>
      </c>
      <c r="G17">
        <f t="shared" si="2"/>
        <v>1.625</v>
      </c>
      <c r="H17" t="str">
        <f t="shared" si="3"/>
        <v/>
      </c>
      <c r="I17" t="str">
        <f t="shared" si="4"/>
        <v/>
      </c>
    </row>
    <row r="18" spans="1:9" x14ac:dyDescent="0.25">
      <c r="A18" s="3">
        <v>17</v>
      </c>
      <c r="B18" s="1">
        <v>6.5</v>
      </c>
      <c r="C18" s="1">
        <v>4</v>
      </c>
      <c r="D18" s="1">
        <f t="shared" si="0"/>
        <v>2.5</v>
      </c>
      <c r="E18">
        <v>17</v>
      </c>
      <c r="F18" t="str">
        <f t="shared" si="1"/>
        <v/>
      </c>
      <c r="G18" t="str">
        <f t="shared" si="2"/>
        <v/>
      </c>
      <c r="H18">
        <f t="shared" si="3"/>
        <v>2.5</v>
      </c>
      <c r="I18" t="str">
        <f t="shared" si="4"/>
        <v/>
      </c>
    </row>
    <row r="19" spans="1:9" x14ac:dyDescent="0.25">
      <c r="A19" s="3">
        <v>18</v>
      </c>
      <c r="B19" s="1">
        <v>8</v>
      </c>
      <c r="C19" s="1">
        <v>5</v>
      </c>
      <c r="D19" s="1">
        <f t="shared" si="0"/>
        <v>3</v>
      </c>
      <c r="E19">
        <v>18</v>
      </c>
      <c r="F19" t="str">
        <f t="shared" si="1"/>
        <v/>
      </c>
      <c r="G19" t="str">
        <f t="shared" si="2"/>
        <v/>
      </c>
      <c r="H19" t="str">
        <f t="shared" si="3"/>
        <v/>
      </c>
      <c r="I19">
        <f t="shared" si="4"/>
        <v>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AD07-520A-4581-9553-CD3D7C2F6168}">
  <sheetPr codeName="Sheet7"/>
  <dimension ref="A1:O19"/>
  <sheetViews>
    <sheetView workbookViewId="0">
      <selection activeCell="Q20" sqref="Q20"/>
    </sheetView>
  </sheetViews>
  <sheetFormatPr defaultRowHeight="15" x14ac:dyDescent="0.25"/>
  <cols>
    <col min="1" max="1" width="13.140625" bestFit="1" customWidth="1"/>
    <col min="2" max="2" width="16" bestFit="1" customWidth="1"/>
    <col min="3" max="3" width="5.140625" bestFit="1" customWidth="1"/>
    <col min="4" max="4" width="8.42578125" bestFit="1" customWidth="1"/>
    <col min="5" max="5" width="11.5703125" bestFit="1" customWidth="1"/>
    <col min="15" max="15" width="32.28515625" bestFit="1" customWidth="1"/>
  </cols>
  <sheetData>
    <row r="1" spans="1:15" x14ac:dyDescent="0.25">
      <c r="A1" s="5" t="s">
        <v>26</v>
      </c>
      <c r="B1" t="s">
        <v>27</v>
      </c>
      <c r="C1" t="s">
        <v>2</v>
      </c>
      <c r="D1" t="s">
        <v>24</v>
      </c>
      <c r="E1" t="s">
        <v>25</v>
      </c>
      <c r="O1" t="s">
        <v>38</v>
      </c>
    </row>
    <row r="2" spans="1:15" x14ac:dyDescent="0.25">
      <c r="A2" s="3">
        <v>1</v>
      </c>
      <c r="B2" s="1">
        <v>1.5</v>
      </c>
      <c r="C2">
        <v>1</v>
      </c>
      <c r="D2" t="str">
        <f t="shared" ref="D2:D19" si="0">IF(B2&lt;=1,B2,"")</f>
        <v/>
      </c>
      <c r="E2">
        <f t="shared" ref="E2:E19" si="1">IF(B2 &gt; 1,B2,"")</f>
        <v>1.5</v>
      </c>
      <c r="O2">
        <v>18</v>
      </c>
    </row>
    <row r="3" spans="1:15" x14ac:dyDescent="0.25">
      <c r="A3" s="3">
        <v>2</v>
      </c>
      <c r="B3" s="1">
        <v>1.5</v>
      </c>
      <c r="C3">
        <v>2</v>
      </c>
      <c r="D3" t="str">
        <f t="shared" si="0"/>
        <v/>
      </c>
      <c r="E3">
        <f t="shared" si="1"/>
        <v>1.5</v>
      </c>
      <c r="O3" t="s">
        <v>41</v>
      </c>
    </row>
    <row r="4" spans="1:15" x14ac:dyDescent="0.25">
      <c r="A4" s="3">
        <v>3</v>
      </c>
      <c r="B4" s="1">
        <v>1.125</v>
      </c>
      <c r="C4">
        <v>3</v>
      </c>
      <c r="D4" t="str">
        <f t="shared" si="0"/>
        <v/>
      </c>
      <c r="E4">
        <f t="shared" si="1"/>
        <v>1.125</v>
      </c>
      <c r="O4">
        <f>COUNT(TotalScore!A:A)</f>
        <v>8</v>
      </c>
    </row>
    <row r="5" spans="1:15" x14ac:dyDescent="0.25">
      <c r="A5" s="3">
        <v>4</v>
      </c>
      <c r="B5" s="1">
        <v>0.875</v>
      </c>
      <c r="C5">
        <v>4</v>
      </c>
      <c r="D5">
        <f t="shared" si="0"/>
        <v>0.875</v>
      </c>
      <c r="E5" t="str">
        <f t="shared" si="1"/>
        <v/>
      </c>
      <c r="O5" t="s">
        <v>39</v>
      </c>
    </row>
    <row r="6" spans="1:15" x14ac:dyDescent="0.25">
      <c r="A6" s="3">
        <v>5</v>
      </c>
      <c r="B6" s="1">
        <v>1</v>
      </c>
      <c r="C6">
        <v>5</v>
      </c>
      <c r="D6">
        <f t="shared" si="0"/>
        <v>1</v>
      </c>
      <c r="E6" t="str">
        <f t="shared" si="1"/>
        <v/>
      </c>
      <c r="O6">
        <f>SUM(Data!K:K)</f>
        <v>182</v>
      </c>
    </row>
    <row r="7" spans="1:15" x14ac:dyDescent="0.25">
      <c r="A7" s="3">
        <v>6</v>
      </c>
      <c r="B7" s="1">
        <v>2</v>
      </c>
      <c r="C7">
        <v>6</v>
      </c>
      <c r="D7" t="str">
        <f t="shared" si="0"/>
        <v/>
      </c>
      <c r="E7">
        <f t="shared" si="1"/>
        <v>2</v>
      </c>
      <c r="O7" t="s">
        <v>40</v>
      </c>
    </row>
    <row r="8" spans="1:15" x14ac:dyDescent="0.25">
      <c r="A8" s="3">
        <v>7</v>
      </c>
      <c r="B8" s="1">
        <v>0.75</v>
      </c>
      <c r="C8">
        <v>7</v>
      </c>
      <c r="D8">
        <f t="shared" si="0"/>
        <v>0.75</v>
      </c>
      <c r="E8" t="str">
        <f t="shared" si="1"/>
        <v/>
      </c>
      <c r="O8" s="1">
        <f>O6/O2/O4</f>
        <v>1.2638888888888888</v>
      </c>
    </row>
    <row r="9" spans="1:15" x14ac:dyDescent="0.25">
      <c r="A9" s="3">
        <v>8</v>
      </c>
      <c r="B9" s="1">
        <v>1.125</v>
      </c>
      <c r="C9">
        <v>8</v>
      </c>
      <c r="D9" t="str">
        <f t="shared" si="0"/>
        <v/>
      </c>
      <c r="E9">
        <f t="shared" si="1"/>
        <v>1.125</v>
      </c>
      <c r="O9" t="s">
        <v>63</v>
      </c>
    </row>
    <row r="10" spans="1:15" x14ac:dyDescent="0.25">
      <c r="A10" s="3">
        <v>9</v>
      </c>
      <c r="B10" s="1">
        <v>1.25</v>
      </c>
      <c r="C10">
        <v>9</v>
      </c>
      <c r="D10" t="str">
        <f t="shared" si="0"/>
        <v/>
      </c>
      <c r="E10">
        <f t="shared" si="1"/>
        <v>1.25</v>
      </c>
      <c r="O10">
        <v>1</v>
      </c>
    </row>
    <row r="11" spans="1:15" x14ac:dyDescent="0.25">
      <c r="A11" s="3">
        <v>10</v>
      </c>
      <c r="B11" s="1">
        <v>1.625</v>
      </c>
      <c r="C11">
        <v>10</v>
      </c>
      <c r="D11" t="str">
        <f t="shared" si="0"/>
        <v/>
      </c>
      <c r="E11">
        <f t="shared" si="1"/>
        <v>1.625</v>
      </c>
      <c r="O11" t="s">
        <v>62</v>
      </c>
    </row>
    <row r="12" spans="1:15" x14ac:dyDescent="0.25">
      <c r="A12" s="3">
        <v>11</v>
      </c>
      <c r="B12" s="1">
        <v>0.875</v>
      </c>
      <c r="C12">
        <v>11</v>
      </c>
      <c r="D12">
        <f t="shared" si="0"/>
        <v>0.875</v>
      </c>
      <c r="E12" t="str">
        <f t="shared" si="1"/>
        <v/>
      </c>
      <c r="O12" s="16">
        <f>(O8-O10)/O10</f>
        <v>0.26388888888888884</v>
      </c>
    </row>
    <row r="13" spans="1:15" x14ac:dyDescent="0.25">
      <c r="A13" s="3">
        <v>12</v>
      </c>
      <c r="B13" s="1">
        <v>1.25</v>
      </c>
      <c r="C13">
        <v>12</v>
      </c>
      <c r="D13" t="str">
        <f t="shared" si="0"/>
        <v/>
      </c>
      <c r="E13">
        <f t="shared" si="1"/>
        <v>1.25</v>
      </c>
    </row>
    <row r="14" spans="1:15" x14ac:dyDescent="0.25">
      <c r="A14" s="3">
        <v>13</v>
      </c>
      <c r="B14" s="1">
        <v>1.125</v>
      </c>
      <c r="C14">
        <v>13</v>
      </c>
      <c r="D14" t="str">
        <f t="shared" si="0"/>
        <v/>
      </c>
      <c r="E14">
        <f t="shared" si="1"/>
        <v>1.125</v>
      </c>
    </row>
    <row r="15" spans="1:15" x14ac:dyDescent="0.25">
      <c r="A15" s="3">
        <v>14</v>
      </c>
      <c r="B15" s="1">
        <v>1.125</v>
      </c>
      <c r="C15">
        <v>14</v>
      </c>
      <c r="D15" t="str">
        <f t="shared" si="0"/>
        <v/>
      </c>
      <c r="E15">
        <f t="shared" si="1"/>
        <v>1.125</v>
      </c>
    </row>
    <row r="16" spans="1:15" x14ac:dyDescent="0.25">
      <c r="A16" s="3">
        <v>15</v>
      </c>
      <c r="B16" s="1">
        <v>1.625</v>
      </c>
      <c r="C16">
        <v>15</v>
      </c>
      <c r="D16" t="str">
        <f t="shared" si="0"/>
        <v/>
      </c>
      <c r="E16">
        <f t="shared" si="1"/>
        <v>1.625</v>
      </c>
    </row>
    <row r="17" spans="1:5" x14ac:dyDescent="0.25">
      <c r="A17" s="3">
        <v>16</v>
      </c>
      <c r="B17" s="1">
        <v>1.125</v>
      </c>
      <c r="C17">
        <v>16</v>
      </c>
      <c r="D17" t="str">
        <f t="shared" si="0"/>
        <v/>
      </c>
      <c r="E17">
        <f t="shared" si="1"/>
        <v>1.125</v>
      </c>
    </row>
    <row r="18" spans="1:5" x14ac:dyDescent="0.25">
      <c r="A18" s="3">
        <v>17</v>
      </c>
      <c r="B18" s="1">
        <v>1.5</v>
      </c>
      <c r="C18">
        <v>17</v>
      </c>
      <c r="D18" t="str">
        <f t="shared" si="0"/>
        <v/>
      </c>
      <c r="E18">
        <f t="shared" si="1"/>
        <v>1.5</v>
      </c>
    </row>
    <row r="19" spans="1:5" x14ac:dyDescent="0.25">
      <c r="A19" s="3">
        <v>18</v>
      </c>
      <c r="B19" s="1">
        <v>1.375</v>
      </c>
      <c r="C19">
        <v>18</v>
      </c>
      <c r="D19" t="str">
        <f t="shared" si="0"/>
        <v/>
      </c>
      <c r="E19">
        <f t="shared" si="1"/>
        <v>1.375</v>
      </c>
    </row>
  </sheetData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862558F-572F-4D43-860A-5594953A2248}">
            <x14:iconSet iconSet="3Triangles" reverse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D5FF0-93C8-45D7-851D-F34A1BBF9447}">
  <sheetPr codeName="Sheet8"/>
  <dimension ref="A1:P19"/>
  <sheetViews>
    <sheetView workbookViewId="0">
      <selection activeCell="S20" sqref="S20"/>
    </sheetView>
  </sheetViews>
  <sheetFormatPr defaultRowHeight="15" x14ac:dyDescent="0.25"/>
  <cols>
    <col min="1" max="1" width="13.140625" bestFit="1" customWidth="1"/>
    <col min="2" max="2" width="15.7109375" bestFit="1" customWidth="1"/>
    <col min="3" max="3" width="5.140625" bestFit="1" customWidth="1"/>
    <col min="4" max="4" width="8.42578125" bestFit="1" customWidth="1"/>
    <col min="5" max="5" width="11.5703125" bestFit="1" customWidth="1"/>
  </cols>
  <sheetData>
    <row r="1" spans="1:16" x14ac:dyDescent="0.25">
      <c r="A1" s="5" t="s">
        <v>26</v>
      </c>
      <c r="B1" t="s">
        <v>28</v>
      </c>
      <c r="C1" t="s">
        <v>2</v>
      </c>
      <c r="D1" t="s">
        <v>55</v>
      </c>
      <c r="E1" t="s">
        <v>56</v>
      </c>
      <c r="P1" t="s">
        <v>38</v>
      </c>
    </row>
    <row r="2" spans="1:16" x14ac:dyDescent="0.25">
      <c r="A2" s="3">
        <v>1</v>
      </c>
      <c r="B2" s="1">
        <v>2.75</v>
      </c>
      <c r="C2">
        <v>1</v>
      </c>
      <c r="D2" t="str">
        <f>IF(B2&lt;=2,B2,"")</f>
        <v/>
      </c>
      <c r="E2">
        <f>IF(B2 &gt; 2,B2,"")</f>
        <v>2.75</v>
      </c>
      <c r="P2">
        <v>18</v>
      </c>
    </row>
    <row r="3" spans="1:16" x14ac:dyDescent="0.25">
      <c r="A3" s="3">
        <v>2</v>
      </c>
      <c r="B3" s="1">
        <v>2.375</v>
      </c>
      <c r="C3">
        <v>2</v>
      </c>
      <c r="D3" t="str">
        <f t="shared" ref="D3:D19" si="0">IF(B3&lt;=2,B3,"")</f>
        <v/>
      </c>
      <c r="E3">
        <f t="shared" ref="E3:E19" si="1">IF(B3 &gt; 2,B3,"")</f>
        <v>2.375</v>
      </c>
      <c r="P3" t="s">
        <v>41</v>
      </c>
    </row>
    <row r="4" spans="1:16" x14ac:dyDescent="0.25">
      <c r="A4" s="3">
        <v>3</v>
      </c>
      <c r="B4" s="1">
        <v>2</v>
      </c>
      <c r="C4">
        <v>3</v>
      </c>
      <c r="D4">
        <f t="shared" si="0"/>
        <v>2</v>
      </c>
      <c r="E4" t="str">
        <f t="shared" si="1"/>
        <v/>
      </c>
      <c r="P4">
        <f>COUNT(TotalScore!B:B)</f>
        <v>8</v>
      </c>
    </row>
    <row r="5" spans="1:16" x14ac:dyDescent="0.25">
      <c r="A5" s="3">
        <v>4</v>
      </c>
      <c r="B5" s="1">
        <v>1.875</v>
      </c>
      <c r="C5">
        <v>4</v>
      </c>
      <c r="D5">
        <f t="shared" si="0"/>
        <v>1.875</v>
      </c>
      <c r="E5" t="str">
        <f t="shared" si="1"/>
        <v/>
      </c>
      <c r="P5" t="s">
        <v>49</v>
      </c>
    </row>
    <row r="6" spans="1:16" x14ac:dyDescent="0.25">
      <c r="A6" s="3">
        <v>5</v>
      </c>
      <c r="B6" s="1">
        <v>2.375</v>
      </c>
      <c r="C6">
        <v>5</v>
      </c>
      <c r="D6" t="str">
        <f t="shared" si="0"/>
        <v/>
      </c>
      <c r="E6">
        <f t="shared" si="1"/>
        <v>2.375</v>
      </c>
      <c r="P6">
        <f>SUM(Data!L:L)</f>
        <v>322</v>
      </c>
    </row>
    <row r="7" spans="1:16" x14ac:dyDescent="0.25">
      <c r="A7" s="3">
        <v>6</v>
      </c>
      <c r="B7" s="1">
        <v>2.25</v>
      </c>
      <c r="C7">
        <v>6</v>
      </c>
      <c r="D7" t="str">
        <f t="shared" si="0"/>
        <v/>
      </c>
      <c r="E7">
        <f t="shared" si="1"/>
        <v>2.25</v>
      </c>
      <c r="P7" t="s">
        <v>50</v>
      </c>
    </row>
    <row r="8" spans="1:16" x14ac:dyDescent="0.25">
      <c r="A8" s="3">
        <v>7</v>
      </c>
      <c r="B8" s="1">
        <v>1.875</v>
      </c>
      <c r="C8">
        <v>7</v>
      </c>
      <c r="D8">
        <f t="shared" si="0"/>
        <v>1.875</v>
      </c>
      <c r="E8" t="str">
        <f t="shared" si="1"/>
        <v/>
      </c>
      <c r="P8" s="1">
        <f>P6/P4/P2</f>
        <v>2.2361111111111112</v>
      </c>
    </row>
    <row r="9" spans="1:16" x14ac:dyDescent="0.25">
      <c r="A9" s="3">
        <v>8</v>
      </c>
      <c r="B9" s="1">
        <v>2.75</v>
      </c>
      <c r="C9">
        <v>8</v>
      </c>
      <c r="D9" t="str">
        <f t="shared" si="0"/>
        <v/>
      </c>
      <c r="E9">
        <f t="shared" si="1"/>
        <v>2.75</v>
      </c>
      <c r="P9" t="s">
        <v>63</v>
      </c>
    </row>
    <row r="10" spans="1:16" x14ac:dyDescent="0.25">
      <c r="A10" s="3">
        <v>9</v>
      </c>
      <c r="B10" s="1">
        <v>1.875</v>
      </c>
      <c r="C10">
        <v>9</v>
      </c>
      <c r="D10">
        <f t="shared" si="0"/>
        <v>1.875</v>
      </c>
      <c r="E10" t="str">
        <f t="shared" si="1"/>
        <v/>
      </c>
      <c r="P10">
        <v>2</v>
      </c>
    </row>
    <row r="11" spans="1:16" x14ac:dyDescent="0.25">
      <c r="A11" s="3">
        <v>10</v>
      </c>
      <c r="B11" s="1">
        <v>2.125</v>
      </c>
      <c r="C11">
        <v>10</v>
      </c>
      <c r="D11" t="str">
        <f t="shared" si="0"/>
        <v/>
      </c>
      <c r="E11">
        <f t="shared" si="1"/>
        <v>2.125</v>
      </c>
      <c r="P11" t="s">
        <v>62</v>
      </c>
    </row>
    <row r="12" spans="1:16" x14ac:dyDescent="0.25">
      <c r="A12" s="3">
        <v>11</v>
      </c>
      <c r="B12" s="1">
        <v>2.5</v>
      </c>
      <c r="C12">
        <v>11</v>
      </c>
      <c r="D12" t="str">
        <f t="shared" si="0"/>
        <v/>
      </c>
      <c r="E12">
        <f t="shared" si="1"/>
        <v>2.5</v>
      </c>
      <c r="P12" s="16">
        <f>(P8-P10)/P10</f>
        <v>0.11805555555555558</v>
      </c>
    </row>
    <row r="13" spans="1:16" x14ac:dyDescent="0.25">
      <c r="A13" s="3">
        <v>12</v>
      </c>
      <c r="B13" s="1">
        <v>2.25</v>
      </c>
      <c r="C13">
        <v>12</v>
      </c>
      <c r="D13" t="str">
        <f t="shared" si="0"/>
        <v/>
      </c>
      <c r="E13">
        <f t="shared" si="1"/>
        <v>2.25</v>
      </c>
    </row>
    <row r="14" spans="1:16" x14ac:dyDescent="0.25">
      <c r="A14" s="3">
        <v>13</v>
      </c>
      <c r="B14" s="1">
        <v>2.125</v>
      </c>
      <c r="C14">
        <v>13</v>
      </c>
      <c r="D14" t="str">
        <f t="shared" si="0"/>
        <v/>
      </c>
      <c r="E14">
        <f t="shared" si="1"/>
        <v>2.125</v>
      </c>
    </row>
    <row r="15" spans="1:16" x14ac:dyDescent="0.25">
      <c r="A15" s="3">
        <v>14</v>
      </c>
      <c r="B15" s="1">
        <v>2.25</v>
      </c>
      <c r="C15">
        <v>14</v>
      </c>
      <c r="D15" t="str">
        <f t="shared" si="0"/>
        <v/>
      </c>
      <c r="E15">
        <f t="shared" si="1"/>
        <v>2.25</v>
      </c>
    </row>
    <row r="16" spans="1:16" x14ac:dyDescent="0.25">
      <c r="A16" s="3">
        <v>15</v>
      </c>
      <c r="B16" s="1">
        <v>2</v>
      </c>
      <c r="C16">
        <v>15</v>
      </c>
      <c r="D16">
        <f t="shared" si="0"/>
        <v>2</v>
      </c>
      <c r="E16" t="str">
        <f t="shared" si="1"/>
        <v/>
      </c>
    </row>
    <row r="17" spans="1:5" x14ac:dyDescent="0.25">
      <c r="A17" s="3">
        <v>16</v>
      </c>
      <c r="B17" s="1">
        <v>2.125</v>
      </c>
      <c r="C17">
        <v>16</v>
      </c>
      <c r="D17" t="str">
        <f t="shared" si="0"/>
        <v/>
      </c>
      <c r="E17">
        <f t="shared" si="1"/>
        <v>2.125</v>
      </c>
    </row>
    <row r="18" spans="1:5" x14ac:dyDescent="0.25">
      <c r="A18" s="3">
        <v>17</v>
      </c>
      <c r="B18" s="1">
        <v>2.125</v>
      </c>
      <c r="C18">
        <v>17</v>
      </c>
      <c r="D18" t="str">
        <f t="shared" si="0"/>
        <v/>
      </c>
      <c r="E18">
        <f t="shared" si="1"/>
        <v>2.125</v>
      </c>
    </row>
    <row r="19" spans="1:5" x14ac:dyDescent="0.25">
      <c r="A19" s="3">
        <v>18</v>
      </c>
      <c r="B19" s="1">
        <v>2.625</v>
      </c>
      <c r="C19">
        <v>18</v>
      </c>
      <c r="D19" t="str">
        <f t="shared" si="0"/>
        <v/>
      </c>
      <c r="E19">
        <f t="shared" si="1"/>
        <v>2.625</v>
      </c>
    </row>
  </sheetData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22D766C-C26B-4685-87CA-2EC3BD3067A5}">
            <x14:iconSet iconSet="3Triangles" reverse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P12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17D3-D9FB-45C8-A027-4313E8FA8AFD}">
  <sheetPr codeName="Sheet15"/>
  <dimension ref="A1:H11"/>
  <sheetViews>
    <sheetView workbookViewId="0">
      <selection activeCell="H7" sqref="H7"/>
    </sheetView>
  </sheetViews>
  <sheetFormatPr defaultRowHeight="15" x14ac:dyDescent="0.25"/>
  <cols>
    <col min="1" max="1" width="13.140625" bestFit="1" customWidth="1"/>
    <col min="2" max="2" width="24.85546875" bestFit="1" customWidth="1"/>
    <col min="3" max="3" width="24.7109375" bestFit="1" customWidth="1"/>
    <col min="4" max="4" width="20.7109375" bestFit="1" customWidth="1"/>
  </cols>
  <sheetData>
    <row r="1" spans="1:8" x14ac:dyDescent="0.25">
      <c r="H1" t="s">
        <v>41</v>
      </c>
    </row>
    <row r="2" spans="1:8" x14ac:dyDescent="0.25">
      <c r="H2">
        <f>COUNT(A:A)</f>
        <v>8</v>
      </c>
    </row>
    <row r="3" spans="1:8" x14ac:dyDescent="0.25">
      <c r="A3" s="5" t="s">
        <v>26</v>
      </c>
      <c r="B3" t="s">
        <v>57</v>
      </c>
      <c r="C3" t="s">
        <v>58</v>
      </c>
      <c r="D3" t="s">
        <v>59</v>
      </c>
      <c r="H3" t="s">
        <v>43</v>
      </c>
    </row>
    <row r="4" spans="1:8" x14ac:dyDescent="0.25">
      <c r="A4" s="4">
        <v>44949</v>
      </c>
      <c r="B4" s="9">
        <v>2</v>
      </c>
      <c r="C4" s="9">
        <v>7</v>
      </c>
      <c r="D4" s="9">
        <v>9</v>
      </c>
      <c r="H4">
        <f>SUM(D:D)</f>
        <v>58</v>
      </c>
    </row>
    <row r="5" spans="1:8" x14ac:dyDescent="0.25">
      <c r="A5" s="4">
        <v>44963</v>
      </c>
      <c r="B5" s="9">
        <v>0</v>
      </c>
      <c r="C5" s="9">
        <v>5</v>
      </c>
      <c r="D5" s="9">
        <v>5</v>
      </c>
      <c r="H5" t="s">
        <v>60</v>
      </c>
    </row>
    <row r="6" spans="1:8" x14ac:dyDescent="0.25">
      <c r="A6" s="4">
        <v>44971</v>
      </c>
      <c r="B6" s="9">
        <v>2</v>
      </c>
      <c r="C6" s="9">
        <v>3</v>
      </c>
      <c r="D6" s="9">
        <v>5</v>
      </c>
      <c r="H6">
        <f>H4/H2</f>
        <v>7.25</v>
      </c>
    </row>
    <row r="7" spans="1:8" x14ac:dyDescent="0.25">
      <c r="A7" s="4">
        <v>45019</v>
      </c>
      <c r="B7" s="9">
        <v>0</v>
      </c>
      <c r="C7" s="9">
        <v>10</v>
      </c>
      <c r="D7" s="9">
        <v>10</v>
      </c>
    </row>
    <row r="8" spans="1:8" x14ac:dyDescent="0.25">
      <c r="A8" s="4">
        <v>45033</v>
      </c>
      <c r="B8" s="9">
        <v>0</v>
      </c>
      <c r="C8" s="9">
        <v>5</v>
      </c>
      <c r="D8" s="9">
        <v>5</v>
      </c>
    </row>
    <row r="9" spans="1:8" x14ac:dyDescent="0.25">
      <c r="A9" s="4">
        <v>45047</v>
      </c>
      <c r="B9" s="9">
        <v>0</v>
      </c>
      <c r="C9" s="9">
        <v>4</v>
      </c>
      <c r="D9" s="9">
        <v>4</v>
      </c>
    </row>
    <row r="10" spans="1:8" x14ac:dyDescent="0.25">
      <c r="A10" s="4">
        <v>45068</v>
      </c>
      <c r="B10" s="9">
        <v>4</v>
      </c>
      <c r="C10" s="9">
        <v>9</v>
      </c>
      <c r="D10" s="9">
        <v>13</v>
      </c>
    </row>
    <row r="11" spans="1:8" x14ac:dyDescent="0.25">
      <c r="A11" s="4">
        <v>45075</v>
      </c>
      <c r="B11" s="9">
        <v>4</v>
      </c>
      <c r="C11" s="9">
        <v>3</v>
      </c>
      <c r="D11" s="9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16B62-3DE1-44C8-8DBD-5F34234981CC}">
  <sheetPr codeName="Sheet4"/>
  <dimension ref="A1:L162"/>
  <sheetViews>
    <sheetView topLeftCell="A133" zoomScaleNormal="100" workbookViewId="0">
      <selection activeCell="M155" sqref="M155"/>
    </sheetView>
  </sheetViews>
  <sheetFormatPr defaultRowHeight="15" x14ac:dyDescent="0.25"/>
  <cols>
    <col min="1" max="1" width="9.7109375" bestFit="1" customWidth="1"/>
    <col min="2" max="2" width="7.42578125" bestFit="1" customWidth="1"/>
    <col min="3" max="3" width="6" customWidth="1"/>
    <col min="4" max="4" width="9.7109375" customWidth="1"/>
    <col min="5" max="5" width="13.28515625" customWidth="1"/>
    <col min="6" max="6" width="8" customWidth="1"/>
    <col min="7" max="7" width="24.5703125" style="2" customWidth="1"/>
    <col min="8" max="8" width="19.85546875" customWidth="1"/>
    <col min="9" max="9" width="11.140625" style="2" customWidth="1"/>
    <col min="10" max="10" width="20" customWidth="1"/>
    <col min="11" max="11" width="8" customWidth="1"/>
    <col min="12" max="12" width="7.7109375" customWidth="1"/>
  </cols>
  <sheetData>
    <row r="1" spans="1:12" x14ac:dyDescent="0.25">
      <c r="A1" s="7" t="s">
        <v>0</v>
      </c>
      <c r="B1" s="7" t="s">
        <v>2</v>
      </c>
      <c r="C1" s="7" t="s">
        <v>1</v>
      </c>
      <c r="D1" s="7" t="s">
        <v>3</v>
      </c>
      <c r="E1" s="7" t="s">
        <v>17</v>
      </c>
      <c r="F1" s="7" t="s">
        <v>13</v>
      </c>
      <c r="G1" s="8" t="s">
        <v>54</v>
      </c>
      <c r="H1" s="7" t="s">
        <v>52</v>
      </c>
      <c r="I1" s="8" t="s">
        <v>16</v>
      </c>
      <c r="J1" s="7" t="s">
        <v>51</v>
      </c>
      <c r="K1" s="7" t="s">
        <v>5</v>
      </c>
      <c r="L1" s="7" t="s">
        <v>6</v>
      </c>
    </row>
    <row r="2" spans="1:12" x14ac:dyDescent="0.25">
      <c r="A2" s="4">
        <v>44949</v>
      </c>
      <c r="B2" s="2">
        <v>1</v>
      </c>
      <c r="C2" s="2">
        <v>5</v>
      </c>
      <c r="D2" s="2">
        <v>9</v>
      </c>
      <c r="E2" s="2">
        <f t="shared" ref="E2:E20" si="0">D2-C2</f>
        <v>4</v>
      </c>
      <c r="F2" s="2">
        <f>D2-K2-L2</f>
        <v>5</v>
      </c>
      <c r="G2" s="2" t="s">
        <v>12</v>
      </c>
      <c r="H2" s="2">
        <f>IF(ISBLANK(G2),"",LEN(TRIM(G2))-LEN(SUBSTITUTE(TRIM(G2),",",""))+1)</f>
        <v>1</v>
      </c>
      <c r="J2" s="2" t="str">
        <f>IF(ISBLANK(I2),"",LEN(TRIM(I2))-LEN(SUBSTITUTE(TRIM(I2),",",""))+2)</f>
        <v/>
      </c>
      <c r="K2" s="2">
        <v>1</v>
      </c>
      <c r="L2" s="2">
        <v>3</v>
      </c>
    </row>
    <row r="3" spans="1:12" x14ac:dyDescent="0.25">
      <c r="A3" s="4">
        <v>44949</v>
      </c>
      <c r="B3" s="2">
        <v>2</v>
      </c>
      <c r="C3" s="2">
        <v>3</v>
      </c>
      <c r="D3" s="2">
        <v>4</v>
      </c>
      <c r="E3" s="2">
        <f t="shared" si="0"/>
        <v>1</v>
      </c>
      <c r="F3" s="2">
        <f>D3-K3-L3</f>
        <v>1</v>
      </c>
      <c r="H3" s="2" t="str">
        <f t="shared" ref="H3:H66" si="1">IF(ISBLANK(G3),"",LEN(TRIM(G3))-LEN(SUBSTITUTE(TRIM(G3),",",""))+1)</f>
        <v/>
      </c>
      <c r="J3" s="2" t="str">
        <f t="shared" ref="J3:J66" si="2">IF(ISBLANK(I3),"",LEN(TRIM(I3))-LEN(SUBSTITUTE(TRIM(I3),",",""))+2)</f>
        <v/>
      </c>
      <c r="K3" s="2">
        <v>1</v>
      </c>
      <c r="L3" s="2">
        <v>2</v>
      </c>
    </row>
    <row r="4" spans="1:12" x14ac:dyDescent="0.25">
      <c r="A4" s="4">
        <v>44949</v>
      </c>
      <c r="B4" s="2">
        <v>3</v>
      </c>
      <c r="C4" s="2">
        <v>4</v>
      </c>
      <c r="D4" s="2">
        <v>5</v>
      </c>
      <c r="E4" s="2">
        <f t="shared" si="0"/>
        <v>1</v>
      </c>
      <c r="F4" s="2">
        <f>D4-K4-L4</f>
        <v>3</v>
      </c>
      <c r="H4" s="2" t="str">
        <f t="shared" si="1"/>
        <v/>
      </c>
      <c r="J4" s="2" t="str">
        <f t="shared" si="2"/>
        <v/>
      </c>
      <c r="K4" s="2">
        <v>1</v>
      </c>
      <c r="L4" s="2">
        <v>1</v>
      </c>
    </row>
    <row r="5" spans="1:12" x14ac:dyDescent="0.25">
      <c r="A5" s="4">
        <v>44949</v>
      </c>
      <c r="B5" s="2">
        <v>4</v>
      </c>
      <c r="C5" s="2">
        <v>4</v>
      </c>
      <c r="D5" s="2">
        <v>6</v>
      </c>
      <c r="E5" s="2">
        <f t="shared" si="0"/>
        <v>2</v>
      </c>
      <c r="F5" s="2">
        <f>D5-K5-L5</f>
        <v>3</v>
      </c>
      <c r="G5" s="2" t="s">
        <v>10</v>
      </c>
      <c r="H5" s="2">
        <f t="shared" si="1"/>
        <v>1</v>
      </c>
      <c r="J5" s="2" t="str">
        <f t="shared" si="2"/>
        <v/>
      </c>
      <c r="K5" s="2">
        <v>1</v>
      </c>
      <c r="L5" s="2">
        <v>2</v>
      </c>
    </row>
    <row r="6" spans="1:12" x14ac:dyDescent="0.25">
      <c r="A6" s="4">
        <v>44949</v>
      </c>
      <c r="B6" s="2">
        <v>5</v>
      </c>
      <c r="C6" s="2">
        <v>5</v>
      </c>
      <c r="D6" s="2">
        <v>8</v>
      </c>
      <c r="E6" s="2">
        <f t="shared" si="0"/>
        <v>3</v>
      </c>
      <c r="F6" s="2">
        <f>D6-K6-L6</f>
        <v>4</v>
      </c>
      <c r="H6" s="2" t="str">
        <f t="shared" si="1"/>
        <v/>
      </c>
      <c r="J6" s="2" t="str">
        <f t="shared" si="2"/>
        <v/>
      </c>
      <c r="K6" s="2">
        <v>2</v>
      </c>
      <c r="L6" s="2">
        <v>2</v>
      </c>
    </row>
    <row r="7" spans="1:12" x14ac:dyDescent="0.25">
      <c r="A7" s="4">
        <v>44949</v>
      </c>
      <c r="B7" s="2">
        <v>6</v>
      </c>
      <c r="C7" s="2">
        <v>4</v>
      </c>
      <c r="D7" s="2">
        <v>9</v>
      </c>
      <c r="E7" s="2">
        <f t="shared" si="0"/>
        <v>5</v>
      </c>
      <c r="F7" s="2">
        <f>D7-K7-L7</f>
        <v>4</v>
      </c>
      <c r="G7" s="2" t="s">
        <v>10</v>
      </c>
      <c r="H7" s="2">
        <f t="shared" si="1"/>
        <v>1</v>
      </c>
      <c r="J7" s="2" t="str">
        <f t="shared" si="2"/>
        <v/>
      </c>
      <c r="K7" s="2">
        <v>3</v>
      </c>
      <c r="L7" s="2">
        <v>2</v>
      </c>
    </row>
    <row r="8" spans="1:12" x14ac:dyDescent="0.25">
      <c r="A8" s="4">
        <v>44949</v>
      </c>
      <c r="B8" s="2">
        <v>7</v>
      </c>
      <c r="C8" s="2">
        <v>4</v>
      </c>
      <c r="D8" s="2">
        <v>7</v>
      </c>
      <c r="E8" s="2">
        <f t="shared" si="0"/>
        <v>3</v>
      </c>
      <c r="F8" s="2">
        <f>D8-K8-L8</f>
        <v>6</v>
      </c>
      <c r="G8" s="2" t="s">
        <v>10</v>
      </c>
      <c r="H8" s="2">
        <f t="shared" si="1"/>
        <v>1</v>
      </c>
      <c r="J8" s="2" t="str">
        <f t="shared" si="2"/>
        <v/>
      </c>
      <c r="K8" s="2">
        <v>0</v>
      </c>
      <c r="L8" s="2">
        <v>1</v>
      </c>
    </row>
    <row r="9" spans="1:12" x14ac:dyDescent="0.25">
      <c r="A9" s="4">
        <v>44949</v>
      </c>
      <c r="B9" s="2">
        <v>8</v>
      </c>
      <c r="C9" s="2">
        <v>3</v>
      </c>
      <c r="D9" s="2">
        <v>5</v>
      </c>
      <c r="E9" s="2">
        <f t="shared" si="0"/>
        <v>2</v>
      </c>
      <c r="F9" s="2">
        <f>D9-K9-L9</f>
        <v>1</v>
      </c>
      <c r="H9" s="2" t="str">
        <f t="shared" si="1"/>
        <v/>
      </c>
      <c r="J9" s="2" t="str">
        <f t="shared" si="2"/>
        <v/>
      </c>
      <c r="K9" s="2">
        <v>1</v>
      </c>
      <c r="L9" s="2">
        <v>3</v>
      </c>
    </row>
    <row r="10" spans="1:12" x14ac:dyDescent="0.25">
      <c r="A10" s="4">
        <v>44949</v>
      </c>
      <c r="B10" s="2">
        <v>9</v>
      </c>
      <c r="C10" s="2">
        <v>4</v>
      </c>
      <c r="D10" s="2">
        <v>7</v>
      </c>
      <c r="E10" s="2">
        <f t="shared" si="0"/>
        <v>3</v>
      </c>
      <c r="F10" s="2">
        <f>D10-K10-L10</f>
        <v>4</v>
      </c>
      <c r="H10" s="2" t="str">
        <f t="shared" si="1"/>
        <v/>
      </c>
      <c r="J10" s="2" t="str">
        <f t="shared" si="2"/>
        <v/>
      </c>
      <c r="K10" s="2">
        <v>2</v>
      </c>
      <c r="L10" s="2">
        <v>1</v>
      </c>
    </row>
    <row r="11" spans="1:12" x14ac:dyDescent="0.25">
      <c r="A11" s="4">
        <v>44949</v>
      </c>
      <c r="B11" s="2">
        <v>10</v>
      </c>
      <c r="C11" s="2">
        <v>4</v>
      </c>
      <c r="D11" s="2">
        <v>7</v>
      </c>
      <c r="E11" s="2">
        <f t="shared" si="0"/>
        <v>3</v>
      </c>
      <c r="F11" s="2">
        <f>D11-K11-L11</f>
        <v>4</v>
      </c>
      <c r="H11" s="2" t="str">
        <f t="shared" si="1"/>
        <v/>
      </c>
      <c r="J11" s="2" t="str">
        <f t="shared" si="2"/>
        <v/>
      </c>
      <c r="K11" s="2">
        <v>2</v>
      </c>
      <c r="L11" s="2">
        <v>1</v>
      </c>
    </row>
    <row r="12" spans="1:12" x14ac:dyDescent="0.25">
      <c r="A12" s="4">
        <v>44949</v>
      </c>
      <c r="B12" s="2">
        <v>11</v>
      </c>
      <c r="C12" s="2">
        <v>3</v>
      </c>
      <c r="D12" s="2">
        <v>4</v>
      </c>
      <c r="E12" s="2">
        <f t="shared" si="0"/>
        <v>1</v>
      </c>
      <c r="F12" s="2">
        <f>D12-K12-L12</f>
        <v>1</v>
      </c>
      <c r="H12" s="2" t="str">
        <f t="shared" si="1"/>
        <v/>
      </c>
      <c r="J12" s="2" t="str">
        <f t="shared" si="2"/>
        <v/>
      </c>
      <c r="K12" s="2">
        <v>1</v>
      </c>
      <c r="L12" s="2">
        <v>2</v>
      </c>
    </row>
    <row r="13" spans="1:12" x14ac:dyDescent="0.25">
      <c r="A13" s="4">
        <v>44949</v>
      </c>
      <c r="B13" s="2">
        <v>12</v>
      </c>
      <c r="C13" s="2">
        <v>4</v>
      </c>
      <c r="D13" s="2">
        <v>8</v>
      </c>
      <c r="E13" s="2">
        <f t="shared" si="0"/>
        <v>4</v>
      </c>
      <c r="F13" s="2">
        <f>D13-K13-L13</f>
        <v>4</v>
      </c>
      <c r="H13" s="2" t="str">
        <f t="shared" si="1"/>
        <v/>
      </c>
      <c r="I13" s="2" t="s">
        <v>11</v>
      </c>
      <c r="J13" s="2">
        <f t="shared" si="2"/>
        <v>2</v>
      </c>
      <c r="K13" s="2">
        <v>1</v>
      </c>
      <c r="L13" s="2">
        <v>3</v>
      </c>
    </row>
    <row r="14" spans="1:12" x14ac:dyDescent="0.25">
      <c r="A14" s="4">
        <v>44949</v>
      </c>
      <c r="B14" s="2">
        <v>13</v>
      </c>
      <c r="C14" s="2">
        <v>5</v>
      </c>
      <c r="D14" s="2">
        <v>7</v>
      </c>
      <c r="E14" s="2">
        <f t="shared" si="0"/>
        <v>2</v>
      </c>
      <c r="F14" s="2">
        <f>D14-K14-L14</f>
        <v>3</v>
      </c>
      <c r="G14" s="2" t="s">
        <v>18</v>
      </c>
      <c r="H14" s="2">
        <f t="shared" si="1"/>
        <v>1</v>
      </c>
      <c r="J14" s="2" t="str">
        <f t="shared" si="2"/>
        <v/>
      </c>
      <c r="K14" s="2">
        <v>2</v>
      </c>
      <c r="L14" s="2">
        <v>2</v>
      </c>
    </row>
    <row r="15" spans="1:12" x14ac:dyDescent="0.25">
      <c r="A15" s="4">
        <v>44949</v>
      </c>
      <c r="B15" s="2">
        <v>14</v>
      </c>
      <c r="C15" s="2">
        <v>4</v>
      </c>
      <c r="D15" s="2">
        <v>7</v>
      </c>
      <c r="E15" s="2">
        <f t="shared" si="0"/>
        <v>3</v>
      </c>
      <c r="F15" s="2">
        <f>D15-K15-L15</f>
        <v>2</v>
      </c>
      <c r="H15" s="2" t="str">
        <f t="shared" si="1"/>
        <v/>
      </c>
      <c r="J15" s="2" t="str">
        <f t="shared" si="2"/>
        <v/>
      </c>
      <c r="K15" s="2">
        <v>1</v>
      </c>
      <c r="L15" s="2">
        <v>4</v>
      </c>
    </row>
    <row r="16" spans="1:12" x14ac:dyDescent="0.25">
      <c r="A16" s="4">
        <v>44949</v>
      </c>
      <c r="B16" s="2">
        <v>15</v>
      </c>
      <c r="C16" s="2">
        <v>4</v>
      </c>
      <c r="D16" s="2">
        <v>5</v>
      </c>
      <c r="E16" s="2">
        <f t="shared" si="0"/>
        <v>1</v>
      </c>
      <c r="F16" s="2">
        <f>D16-K16-L16</f>
        <v>2</v>
      </c>
      <c r="H16" s="2" t="str">
        <f t="shared" si="1"/>
        <v/>
      </c>
      <c r="J16" s="2" t="str">
        <f t="shared" si="2"/>
        <v/>
      </c>
      <c r="K16" s="2">
        <v>1</v>
      </c>
      <c r="L16" s="2">
        <v>2</v>
      </c>
    </row>
    <row r="17" spans="1:12" x14ac:dyDescent="0.25">
      <c r="A17" s="4">
        <v>44949</v>
      </c>
      <c r="B17" s="2">
        <v>16</v>
      </c>
      <c r="C17" s="2">
        <v>3</v>
      </c>
      <c r="D17" s="2">
        <v>4</v>
      </c>
      <c r="E17" s="2">
        <f t="shared" si="0"/>
        <v>1</v>
      </c>
      <c r="F17" s="2">
        <f>D17-K17-L17</f>
        <v>1</v>
      </c>
      <c r="H17" s="2" t="str">
        <f t="shared" si="1"/>
        <v/>
      </c>
      <c r="J17" s="2" t="str">
        <f t="shared" si="2"/>
        <v/>
      </c>
      <c r="K17" s="2">
        <v>1</v>
      </c>
      <c r="L17" s="2">
        <v>2</v>
      </c>
    </row>
    <row r="18" spans="1:12" x14ac:dyDescent="0.25">
      <c r="A18" s="4">
        <v>44949</v>
      </c>
      <c r="B18" s="2">
        <v>17</v>
      </c>
      <c r="C18" s="2">
        <v>4</v>
      </c>
      <c r="D18" s="2">
        <v>7</v>
      </c>
      <c r="E18" s="2">
        <f t="shared" si="0"/>
        <v>3</v>
      </c>
      <c r="F18" s="2">
        <f>D18-K18-L18</f>
        <v>3</v>
      </c>
      <c r="G18" s="2" t="s">
        <v>10</v>
      </c>
      <c r="H18" s="2">
        <f t="shared" si="1"/>
        <v>1</v>
      </c>
      <c r="J18" s="2" t="str">
        <f t="shared" si="2"/>
        <v/>
      </c>
      <c r="K18" s="2">
        <v>1</v>
      </c>
      <c r="L18" s="2">
        <v>3</v>
      </c>
    </row>
    <row r="19" spans="1:12" x14ac:dyDescent="0.25">
      <c r="A19" s="4">
        <v>44949</v>
      </c>
      <c r="B19" s="2">
        <v>18</v>
      </c>
      <c r="C19" s="2">
        <v>5</v>
      </c>
      <c r="D19" s="2">
        <v>8</v>
      </c>
      <c r="E19" s="2">
        <f t="shared" si="0"/>
        <v>3</v>
      </c>
      <c r="F19" s="2">
        <f>D19-K19-L19</f>
        <v>4</v>
      </c>
      <c r="G19" s="2" t="s">
        <v>10</v>
      </c>
      <c r="H19" s="2">
        <f t="shared" si="1"/>
        <v>1</v>
      </c>
      <c r="J19" s="2" t="str">
        <f t="shared" si="2"/>
        <v/>
      </c>
      <c r="K19" s="2">
        <v>1</v>
      </c>
      <c r="L19" s="2">
        <v>3</v>
      </c>
    </row>
    <row r="20" spans="1:12" x14ac:dyDescent="0.25">
      <c r="A20" s="4">
        <v>44963</v>
      </c>
      <c r="B20" s="2">
        <v>1</v>
      </c>
      <c r="C20" s="2">
        <v>5</v>
      </c>
      <c r="D20" s="2">
        <v>7</v>
      </c>
      <c r="E20" s="2">
        <f t="shared" si="0"/>
        <v>2</v>
      </c>
      <c r="F20" s="2">
        <f>D20-K20-L20</f>
        <v>4</v>
      </c>
      <c r="H20" s="2" t="str">
        <f t="shared" si="1"/>
        <v/>
      </c>
      <c r="J20" s="2" t="str">
        <f t="shared" si="2"/>
        <v/>
      </c>
      <c r="K20" s="2">
        <v>1</v>
      </c>
      <c r="L20" s="2">
        <v>2</v>
      </c>
    </row>
    <row r="21" spans="1:12" x14ac:dyDescent="0.25">
      <c r="A21" s="4">
        <v>44963</v>
      </c>
      <c r="B21" s="2">
        <v>2</v>
      </c>
      <c r="C21" s="2">
        <v>3</v>
      </c>
      <c r="D21" s="2">
        <v>6</v>
      </c>
      <c r="E21" s="2">
        <f t="shared" ref="E21:E145" si="3">D21-C21</f>
        <v>3</v>
      </c>
      <c r="F21" s="2">
        <f>D21-K21-L21</f>
        <v>2</v>
      </c>
      <c r="H21" s="2" t="str">
        <f t="shared" si="1"/>
        <v/>
      </c>
      <c r="J21" s="2" t="str">
        <f t="shared" si="2"/>
        <v/>
      </c>
      <c r="K21" s="2">
        <v>3</v>
      </c>
      <c r="L21" s="2">
        <v>1</v>
      </c>
    </row>
    <row r="22" spans="1:12" x14ac:dyDescent="0.25">
      <c r="A22" s="4">
        <v>44963</v>
      </c>
      <c r="B22" s="2">
        <v>3</v>
      </c>
      <c r="C22" s="2">
        <v>4</v>
      </c>
      <c r="D22" s="2">
        <v>6</v>
      </c>
      <c r="E22" s="2">
        <f t="shared" si="3"/>
        <v>2</v>
      </c>
      <c r="F22" s="2">
        <f>D22-K22-L22</f>
        <v>3</v>
      </c>
      <c r="H22" s="2" t="str">
        <f t="shared" si="1"/>
        <v/>
      </c>
      <c r="J22" s="2" t="str">
        <f t="shared" si="2"/>
        <v/>
      </c>
      <c r="K22" s="2">
        <v>1</v>
      </c>
      <c r="L22" s="2">
        <v>2</v>
      </c>
    </row>
    <row r="23" spans="1:12" x14ac:dyDescent="0.25">
      <c r="A23" s="4">
        <v>44963</v>
      </c>
      <c r="B23" s="2">
        <v>4</v>
      </c>
      <c r="C23" s="2">
        <v>4</v>
      </c>
      <c r="D23" s="2">
        <v>6</v>
      </c>
      <c r="E23" s="2">
        <f t="shared" si="3"/>
        <v>2</v>
      </c>
      <c r="F23" s="2">
        <f>D23-K23-L23</f>
        <v>3</v>
      </c>
      <c r="H23" s="2" t="str">
        <f t="shared" si="1"/>
        <v/>
      </c>
      <c r="J23" s="2" t="str">
        <f t="shared" si="2"/>
        <v/>
      </c>
      <c r="K23" s="2">
        <v>1</v>
      </c>
      <c r="L23" s="2">
        <v>2</v>
      </c>
    </row>
    <row r="24" spans="1:12" x14ac:dyDescent="0.25">
      <c r="A24" s="4">
        <v>44963</v>
      </c>
      <c r="B24" s="2">
        <v>5</v>
      </c>
      <c r="C24" s="2">
        <v>5</v>
      </c>
      <c r="D24" s="2">
        <v>6</v>
      </c>
      <c r="E24" s="2">
        <f t="shared" si="3"/>
        <v>1</v>
      </c>
      <c r="F24" s="2">
        <f>D24-K24-L24</f>
        <v>3</v>
      </c>
      <c r="H24" s="2" t="str">
        <f t="shared" si="1"/>
        <v/>
      </c>
      <c r="J24" s="2" t="str">
        <f t="shared" si="2"/>
        <v/>
      </c>
      <c r="K24" s="2">
        <v>0</v>
      </c>
      <c r="L24" s="2">
        <v>3</v>
      </c>
    </row>
    <row r="25" spans="1:12" x14ac:dyDescent="0.25">
      <c r="A25" s="4">
        <v>44963</v>
      </c>
      <c r="B25" s="2">
        <v>6</v>
      </c>
      <c r="C25" s="2">
        <v>4</v>
      </c>
      <c r="D25" s="2">
        <v>6</v>
      </c>
      <c r="E25" s="2">
        <f t="shared" si="3"/>
        <v>2</v>
      </c>
      <c r="F25" s="2">
        <f>D25-K25-L25</f>
        <v>4</v>
      </c>
      <c r="H25" s="2" t="str">
        <f t="shared" si="1"/>
        <v/>
      </c>
      <c r="J25" s="2" t="str">
        <f t="shared" si="2"/>
        <v/>
      </c>
      <c r="K25" s="2">
        <v>1</v>
      </c>
      <c r="L25" s="2">
        <v>1</v>
      </c>
    </row>
    <row r="26" spans="1:12" x14ac:dyDescent="0.25">
      <c r="A26" s="4">
        <v>44963</v>
      </c>
      <c r="B26" s="2">
        <v>7</v>
      </c>
      <c r="C26" s="2">
        <v>4</v>
      </c>
      <c r="D26" s="2">
        <v>7</v>
      </c>
      <c r="E26" s="2">
        <f t="shared" si="3"/>
        <v>3</v>
      </c>
      <c r="F26" s="2">
        <f>D26-K26-L26</f>
        <v>5</v>
      </c>
      <c r="G26" s="2" t="s">
        <v>22</v>
      </c>
      <c r="H26" s="2">
        <f t="shared" si="1"/>
        <v>1</v>
      </c>
      <c r="J26" s="2" t="str">
        <f t="shared" si="2"/>
        <v/>
      </c>
      <c r="K26" s="2">
        <v>1</v>
      </c>
      <c r="L26" s="2">
        <v>1</v>
      </c>
    </row>
    <row r="27" spans="1:12" x14ac:dyDescent="0.25">
      <c r="A27" s="4">
        <v>44963</v>
      </c>
      <c r="B27" s="2">
        <v>8</v>
      </c>
      <c r="C27" s="2">
        <v>3</v>
      </c>
      <c r="D27" s="2">
        <v>5</v>
      </c>
      <c r="E27" s="2">
        <f t="shared" si="3"/>
        <v>2</v>
      </c>
      <c r="F27" s="2">
        <f>D27-K27-L27</f>
        <v>1</v>
      </c>
      <c r="H27" s="2" t="str">
        <f t="shared" si="1"/>
        <v/>
      </c>
      <c r="J27" s="2" t="str">
        <f t="shared" si="2"/>
        <v/>
      </c>
      <c r="K27" s="2">
        <v>2</v>
      </c>
      <c r="L27" s="2">
        <v>2</v>
      </c>
    </row>
    <row r="28" spans="1:12" x14ac:dyDescent="0.25">
      <c r="A28" s="4">
        <v>44963</v>
      </c>
      <c r="B28" s="2">
        <v>9</v>
      </c>
      <c r="C28" s="2">
        <v>4</v>
      </c>
      <c r="D28" s="2">
        <v>8</v>
      </c>
      <c r="E28" s="2">
        <f t="shared" si="3"/>
        <v>4</v>
      </c>
      <c r="F28" s="2">
        <f>D28-K28-L28</f>
        <v>5</v>
      </c>
      <c r="G28" s="2" t="s">
        <v>22</v>
      </c>
      <c r="H28" s="2">
        <f t="shared" si="1"/>
        <v>1</v>
      </c>
      <c r="J28" s="2" t="str">
        <f t="shared" si="2"/>
        <v/>
      </c>
      <c r="K28" s="2">
        <v>1</v>
      </c>
      <c r="L28" s="2">
        <v>2</v>
      </c>
    </row>
    <row r="29" spans="1:12" x14ac:dyDescent="0.25">
      <c r="A29" s="4">
        <v>44963</v>
      </c>
      <c r="B29" s="2">
        <v>10</v>
      </c>
      <c r="C29" s="2">
        <v>4</v>
      </c>
      <c r="D29" s="2">
        <v>8</v>
      </c>
      <c r="E29" s="2">
        <f t="shared" si="3"/>
        <v>4</v>
      </c>
      <c r="F29" s="2">
        <f>D29-K29-L29</f>
        <v>3</v>
      </c>
      <c r="G29" s="2" t="s">
        <v>22</v>
      </c>
      <c r="H29" s="2">
        <f t="shared" si="1"/>
        <v>1</v>
      </c>
      <c r="J29" s="2" t="str">
        <f t="shared" si="2"/>
        <v/>
      </c>
      <c r="K29" s="2">
        <v>2</v>
      </c>
      <c r="L29" s="2">
        <v>3</v>
      </c>
    </row>
    <row r="30" spans="1:12" x14ac:dyDescent="0.25">
      <c r="A30" s="4">
        <v>44963</v>
      </c>
      <c r="B30" s="2">
        <v>11</v>
      </c>
      <c r="C30" s="2">
        <v>3</v>
      </c>
      <c r="D30" s="2">
        <v>3</v>
      </c>
      <c r="E30" s="2">
        <f t="shared" si="3"/>
        <v>0</v>
      </c>
      <c r="F30" s="2">
        <f>D30-K30-L30</f>
        <v>1</v>
      </c>
      <c r="H30" s="2" t="str">
        <f t="shared" si="1"/>
        <v/>
      </c>
      <c r="J30" s="2" t="str">
        <f t="shared" si="2"/>
        <v/>
      </c>
      <c r="K30" s="2">
        <v>0</v>
      </c>
      <c r="L30" s="2">
        <v>2</v>
      </c>
    </row>
    <row r="31" spans="1:12" x14ac:dyDescent="0.25">
      <c r="A31" s="4">
        <v>44963</v>
      </c>
      <c r="B31" s="2">
        <v>12</v>
      </c>
      <c r="C31" s="2">
        <v>4</v>
      </c>
      <c r="D31" s="2">
        <v>4</v>
      </c>
      <c r="E31" s="2">
        <f t="shared" si="3"/>
        <v>0</v>
      </c>
      <c r="F31" s="2">
        <f>D31-K31-L31</f>
        <v>2</v>
      </c>
      <c r="H31" s="2" t="str">
        <f t="shared" si="1"/>
        <v/>
      </c>
      <c r="J31" s="2" t="str">
        <f t="shared" si="2"/>
        <v/>
      </c>
      <c r="K31" s="2">
        <v>1</v>
      </c>
      <c r="L31" s="2">
        <v>1</v>
      </c>
    </row>
    <row r="32" spans="1:12" x14ac:dyDescent="0.25">
      <c r="A32" s="4">
        <v>44963</v>
      </c>
      <c r="B32" s="2">
        <v>13</v>
      </c>
      <c r="C32" s="2">
        <v>5</v>
      </c>
      <c r="D32" s="2">
        <v>7</v>
      </c>
      <c r="E32" s="2">
        <f t="shared" si="3"/>
        <v>2</v>
      </c>
      <c r="F32" s="2">
        <f>D32-K32-L32</f>
        <v>5</v>
      </c>
      <c r="G32" s="2" t="s">
        <v>22</v>
      </c>
      <c r="H32" s="2">
        <f t="shared" si="1"/>
        <v>1</v>
      </c>
      <c r="J32" s="2" t="str">
        <f t="shared" si="2"/>
        <v/>
      </c>
      <c r="K32" s="2">
        <v>1</v>
      </c>
      <c r="L32" s="2">
        <v>1</v>
      </c>
    </row>
    <row r="33" spans="1:12" x14ac:dyDescent="0.25">
      <c r="A33" s="4">
        <v>44963</v>
      </c>
      <c r="B33" s="2">
        <v>14</v>
      </c>
      <c r="C33" s="2">
        <v>4</v>
      </c>
      <c r="D33" s="2">
        <v>8</v>
      </c>
      <c r="E33" s="2">
        <f t="shared" si="3"/>
        <v>4</v>
      </c>
      <c r="F33" s="2">
        <f>D33-K33-L33</f>
        <v>5</v>
      </c>
      <c r="G33" s="2" t="s">
        <v>22</v>
      </c>
      <c r="H33" s="2">
        <f t="shared" si="1"/>
        <v>1</v>
      </c>
      <c r="J33" s="2" t="str">
        <f t="shared" si="2"/>
        <v/>
      </c>
      <c r="K33" s="2">
        <v>0</v>
      </c>
      <c r="L33" s="2">
        <v>3</v>
      </c>
    </row>
    <row r="34" spans="1:12" x14ac:dyDescent="0.25">
      <c r="A34" s="4">
        <v>44963</v>
      </c>
      <c r="B34" s="2">
        <v>15</v>
      </c>
      <c r="C34" s="2">
        <v>4</v>
      </c>
      <c r="D34" s="2">
        <v>8</v>
      </c>
      <c r="E34" s="2">
        <f t="shared" si="3"/>
        <v>4</v>
      </c>
      <c r="F34" s="2">
        <f>D34-K34-L34</f>
        <v>2</v>
      </c>
      <c r="H34" s="2" t="str">
        <f t="shared" si="1"/>
        <v/>
      </c>
      <c r="J34" s="2" t="str">
        <f t="shared" si="2"/>
        <v/>
      </c>
      <c r="K34" s="2">
        <v>4</v>
      </c>
      <c r="L34" s="2">
        <v>2</v>
      </c>
    </row>
    <row r="35" spans="1:12" x14ac:dyDescent="0.25">
      <c r="A35" s="4">
        <v>44963</v>
      </c>
      <c r="B35" s="2">
        <v>16</v>
      </c>
      <c r="C35" s="2">
        <v>3</v>
      </c>
      <c r="D35" s="2">
        <v>4</v>
      </c>
      <c r="E35" s="2">
        <f t="shared" si="3"/>
        <v>1</v>
      </c>
      <c r="F35" s="2">
        <f>D35-K35-L35</f>
        <v>1</v>
      </c>
      <c r="H35" s="2" t="str">
        <f t="shared" si="1"/>
        <v/>
      </c>
      <c r="J35" s="2" t="str">
        <f t="shared" si="2"/>
        <v/>
      </c>
      <c r="K35" s="2">
        <v>1</v>
      </c>
      <c r="L35" s="2">
        <v>2</v>
      </c>
    </row>
    <row r="36" spans="1:12" x14ac:dyDescent="0.25">
      <c r="A36" s="4">
        <v>44963</v>
      </c>
      <c r="B36" s="2">
        <v>17</v>
      </c>
      <c r="C36" s="2">
        <v>4</v>
      </c>
      <c r="D36" s="2">
        <v>7</v>
      </c>
      <c r="E36" s="2">
        <f t="shared" si="3"/>
        <v>3</v>
      </c>
      <c r="F36" s="2">
        <f>D36-K36-L36</f>
        <v>3</v>
      </c>
      <c r="H36" s="2" t="str">
        <f t="shared" si="1"/>
        <v/>
      </c>
      <c r="J36" s="2" t="str">
        <f t="shared" si="2"/>
        <v/>
      </c>
      <c r="K36" s="2">
        <v>2</v>
      </c>
      <c r="L36" s="2">
        <v>2</v>
      </c>
    </row>
    <row r="37" spans="1:12" x14ac:dyDescent="0.25">
      <c r="A37" s="4">
        <v>44963</v>
      </c>
      <c r="B37" s="2">
        <v>18</v>
      </c>
      <c r="C37" s="2">
        <v>5</v>
      </c>
      <c r="D37" s="2">
        <v>10</v>
      </c>
      <c r="E37" s="2">
        <f t="shared" si="3"/>
        <v>5</v>
      </c>
      <c r="F37" s="2">
        <f>D37-K37-L37</f>
        <v>4</v>
      </c>
      <c r="H37" s="2" t="str">
        <f t="shared" si="1"/>
        <v/>
      </c>
      <c r="J37" s="2" t="str">
        <f t="shared" si="2"/>
        <v/>
      </c>
      <c r="K37" s="2">
        <v>1</v>
      </c>
      <c r="L37" s="2">
        <v>5</v>
      </c>
    </row>
    <row r="38" spans="1:12" x14ac:dyDescent="0.25">
      <c r="A38" s="4">
        <v>44971</v>
      </c>
      <c r="B38" s="2">
        <v>1</v>
      </c>
      <c r="C38" s="2">
        <v>5</v>
      </c>
      <c r="D38" s="2">
        <v>10</v>
      </c>
      <c r="E38" s="2">
        <f t="shared" si="3"/>
        <v>5</v>
      </c>
      <c r="F38" s="2">
        <f>D38-K38-L38</f>
        <v>4</v>
      </c>
      <c r="G38" s="2" t="s">
        <v>21</v>
      </c>
      <c r="H38" s="2">
        <f t="shared" si="1"/>
        <v>1</v>
      </c>
      <c r="J38" s="2" t="str">
        <f t="shared" si="2"/>
        <v/>
      </c>
      <c r="K38" s="2">
        <v>2</v>
      </c>
      <c r="L38" s="2">
        <v>4</v>
      </c>
    </row>
    <row r="39" spans="1:12" x14ac:dyDescent="0.25">
      <c r="A39" s="4">
        <v>44971</v>
      </c>
      <c r="B39" s="2">
        <v>2</v>
      </c>
      <c r="C39" s="2">
        <v>3</v>
      </c>
      <c r="D39" s="2">
        <v>7</v>
      </c>
      <c r="E39" s="2">
        <f t="shared" si="3"/>
        <v>4</v>
      </c>
      <c r="F39" s="2">
        <f>D39-K39-L39</f>
        <v>1</v>
      </c>
      <c r="H39" s="2" t="str">
        <f t="shared" si="1"/>
        <v/>
      </c>
      <c r="J39" s="2" t="str">
        <f t="shared" si="2"/>
        <v/>
      </c>
      <c r="K39" s="2">
        <v>3</v>
      </c>
      <c r="L39" s="2">
        <v>3</v>
      </c>
    </row>
    <row r="40" spans="1:12" x14ac:dyDescent="0.25">
      <c r="A40" s="4">
        <v>44971</v>
      </c>
      <c r="B40" s="2">
        <v>3</v>
      </c>
      <c r="C40" s="2">
        <v>4</v>
      </c>
      <c r="D40" s="2">
        <v>7</v>
      </c>
      <c r="E40" s="2">
        <f t="shared" si="3"/>
        <v>3</v>
      </c>
      <c r="F40" s="2">
        <f>D40-K40-L40</f>
        <v>4</v>
      </c>
      <c r="H40" s="2" t="str">
        <f t="shared" si="1"/>
        <v/>
      </c>
      <c r="J40" s="2" t="str">
        <f t="shared" si="2"/>
        <v/>
      </c>
      <c r="K40" s="2">
        <v>1</v>
      </c>
      <c r="L40" s="2">
        <v>2</v>
      </c>
    </row>
    <row r="41" spans="1:12" x14ac:dyDescent="0.25">
      <c r="A41" s="4">
        <v>44971</v>
      </c>
      <c r="B41" s="2">
        <v>4</v>
      </c>
      <c r="C41" s="2">
        <v>4</v>
      </c>
      <c r="D41" s="2">
        <v>4</v>
      </c>
      <c r="E41" s="2">
        <f t="shared" si="3"/>
        <v>0</v>
      </c>
      <c r="F41" s="2">
        <f>D41-K41-L41</f>
        <v>2</v>
      </c>
      <c r="H41" s="2" t="str">
        <f t="shared" si="1"/>
        <v/>
      </c>
      <c r="J41" s="2" t="str">
        <f t="shared" si="2"/>
        <v/>
      </c>
      <c r="K41" s="2">
        <v>1</v>
      </c>
      <c r="L41" s="2">
        <v>1</v>
      </c>
    </row>
    <row r="42" spans="1:12" x14ac:dyDescent="0.25">
      <c r="A42" s="4">
        <v>44971</v>
      </c>
      <c r="B42" s="2">
        <v>5</v>
      </c>
      <c r="C42" s="2">
        <v>5</v>
      </c>
      <c r="D42" s="2">
        <v>8</v>
      </c>
      <c r="E42" s="2">
        <f t="shared" si="3"/>
        <v>3</v>
      </c>
      <c r="F42" s="2">
        <f>D42-K42-L42</f>
        <v>4</v>
      </c>
      <c r="H42" s="2" t="str">
        <f t="shared" si="1"/>
        <v/>
      </c>
      <c r="J42" s="2" t="str">
        <f t="shared" si="2"/>
        <v/>
      </c>
      <c r="K42" s="2">
        <v>1</v>
      </c>
      <c r="L42" s="2">
        <v>3</v>
      </c>
    </row>
    <row r="43" spans="1:12" x14ac:dyDescent="0.25">
      <c r="A43" s="4">
        <v>44971</v>
      </c>
      <c r="B43" s="2">
        <v>6</v>
      </c>
      <c r="C43" s="2">
        <v>4</v>
      </c>
      <c r="D43" s="2">
        <v>8</v>
      </c>
      <c r="E43" s="2">
        <f t="shared" si="3"/>
        <v>4</v>
      </c>
      <c r="F43" s="2">
        <f>D43-K43-L43</f>
        <v>3</v>
      </c>
      <c r="H43" s="2" t="str">
        <f t="shared" si="1"/>
        <v/>
      </c>
      <c r="J43" s="2" t="str">
        <f t="shared" si="2"/>
        <v/>
      </c>
      <c r="K43" s="2">
        <v>2</v>
      </c>
      <c r="L43" s="2">
        <v>3</v>
      </c>
    </row>
    <row r="44" spans="1:12" x14ac:dyDescent="0.25">
      <c r="A44" s="4">
        <v>44971</v>
      </c>
      <c r="B44" s="2">
        <v>7</v>
      </c>
      <c r="C44" s="2">
        <v>4</v>
      </c>
      <c r="D44" s="2">
        <v>7</v>
      </c>
      <c r="E44" s="2">
        <f t="shared" si="3"/>
        <v>3</v>
      </c>
      <c r="F44" s="2">
        <f>D44-K44-L44</f>
        <v>3</v>
      </c>
      <c r="H44" s="2" t="str">
        <f t="shared" si="1"/>
        <v/>
      </c>
      <c r="J44" s="2" t="str">
        <f t="shared" si="2"/>
        <v/>
      </c>
      <c r="K44" s="2">
        <v>1</v>
      </c>
      <c r="L44" s="2">
        <v>3</v>
      </c>
    </row>
    <row r="45" spans="1:12" x14ac:dyDescent="0.25">
      <c r="A45" s="4">
        <v>44971</v>
      </c>
      <c r="B45" s="2">
        <v>8</v>
      </c>
      <c r="C45" s="2">
        <v>3</v>
      </c>
      <c r="D45" s="2">
        <v>5</v>
      </c>
      <c r="E45" s="2">
        <f t="shared" si="3"/>
        <v>2</v>
      </c>
      <c r="F45" s="2">
        <f>D45-K45-L45</f>
        <v>2</v>
      </c>
      <c r="H45" s="2" t="str">
        <f t="shared" si="1"/>
        <v/>
      </c>
      <c r="J45" s="2" t="str">
        <f t="shared" si="2"/>
        <v/>
      </c>
      <c r="K45" s="2">
        <v>0</v>
      </c>
      <c r="L45" s="2">
        <v>3</v>
      </c>
    </row>
    <row r="46" spans="1:12" x14ac:dyDescent="0.25">
      <c r="A46" s="4">
        <v>44971</v>
      </c>
      <c r="B46" s="2">
        <v>9</v>
      </c>
      <c r="C46" s="2">
        <v>4</v>
      </c>
      <c r="D46" s="2">
        <v>6</v>
      </c>
      <c r="E46" s="2">
        <f t="shared" si="3"/>
        <v>2</v>
      </c>
      <c r="F46" s="2">
        <f>D46-K46-L46</f>
        <v>3</v>
      </c>
      <c r="H46" s="2" t="str">
        <f t="shared" si="1"/>
        <v/>
      </c>
      <c r="J46" s="2" t="str">
        <f t="shared" si="2"/>
        <v/>
      </c>
      <c r="K46" s="2">
        <v>1</v>
      </c>
      <c r="L46" s="2">
        <v>2</v>
      </c>
    </row>
    <row r="47" spans="1:12" x14ac:dyDescent="0.25">
      <c r="A47" s="4">
        <v>44971</v>
      </c>
      <c r="B47" s="2">
        <v>10</v>
      </c>
      <c r="C47" s="2">
        <v>4</v>
      </c>
      <c r="D47" s="2">
        <v>6</v>
      </c>
      <c r="E47" s="2">
        <f t="shared" si="3"/>
        <v>2</v>
      </c>
      <c r="F47" s="2">
        <f>D47-K47-L47</f>
        <v>3</v>
      </c>
      <c r="H47" s="2" t="str">
        <f t="shared" si="1"/>
        <v/>
      </c>
      <c r="J47" s="2" t="str">
        <f t="shared" si="2"/>
        <v/>
      </c>
      <c r="K47" s="2">
        <v>1</v>
      </c>
      <c r="L47" s="2">
        <v>2</v>
      </c>
    </row>
    <row r="48" spans="1:12" x14ac:dyDescent="0.25">
      <c r="A48" s="4">
        <v>44971</v>
      </c>
      <c r="B48" s="2">
        <v>11</v>
      </c>
      <c r="C48" s="2">
        <v>3</v>
      </c>
      <c r="D48" s="2">
        <v>7</v>
      </c>
      <c r="E48" s="2">
        <f t="shared" si="3"/>
        <v>4</v>
      </c>
      <c r="F48" s="2">
        <f>D48-K48-L48</f>
        <v>3</v>
      </c>
      <c r="H48" s="2" t="str">
        <f t="shared" si="1"/>
        <v/>
      </c>
      <c r="J48" s="2" t="str">
        <f t="shared" si="2"/>
        <v/>
      </c>
      <c r="K48" s="2">
        <v>1</v>
      </c>
      <c r="L48" s="2">
        <v>3</v>
      </c>
    </row>
    <row r="49" spans="1:12" x14ac:dyDescent="0.25">
      <c r="A49" s="4">
        <v>44971</v>
      </c>
      <c r="B49" s="2">
        <v>12</v>
      </c>
      <c r="C49" s="2">
        <v>4</v>
      </c>
      <c r="D49" s="2">
        <v>8</v>
      </c>
      <c r="E49" s="2">
        <f t="shared" si="3"/>
        <v>4</v>
      </c>
      <c r="F49" s="2">
        <f>D49-K49-L49</f>
        <v>4</v>
      </c>
      <c r="G49" s="2" t="s">
        <v>10</v>
      </c>
      <c r="H49" s="2">
        <f t="shared" si="1"/>
        <v>1</v>
      </c>
      <c r="J49" s="2" t="str">
        <f t="shared" si="2"/>
        <v/>
      </c>
      <c r="K49" s="2">
        <v>1</v>
      </c>
      <c r="L49" s="2">
        <v>3</v>
      </c>
    </row>
    <row r="50" spans="1:12" x14ac:dyDescent="0.25">
      <c r="A50" s="4">
        <v>44971</v>
      </c>
      <c r="B50" s="2">
        <v>13</v>
      </c>
      <c r="C50" s="2">
        <v>5</v>
      </c>
      <c r="D50" s="2">
        <v>6</v>
      </c>
      <c r="E50" s="2">
        <f t="shared" si="3"/>
        <v>1</v>
      </c>
      <c r="F50" s="2">
        <f>D50-K50-L50</f>
        <v>4</v>
      </c>
      <c r="H50" s="2" t="str">
        <f t="shared" si="1"/>
        <v/>
      </c>
      <c r="J50" s="2" t="str">
        <f t="shared" si="2"/>
        <v/>
      </c>
      <c r="K50" s="2">
        <v>1</v>
      </c>
      <c r="L50" s="2">
        <v>1</v>
      </c>
    </row>
    <row r="51" spans="1:12" x14ac:dyDescent="0.25">
      <c r="A51" s="4">
        <v>44971</v>
      </c>
      <c r="B51" s="2">
        <v>14</v>
      </c>
      <c r="C51" s="2">
        <v>4</v>
      </c>
      <c r="D51" s="2">
        <v>6</v>
      </c>
      <c r="E51" s="2">
        <f t="shared" si="3"/>
        <v>2</v>
      </c>
      <c r="F51" s="2">
        <f>D51-K51-L51</f>
        <v>2</v>
      </c>
      <c r="H51" s="2" t="str">
        <f t="shared" si="1"/>
        <v/>
      </c>
      <c r="J51" s="2" t="str">
        <f t="shared" si="2"/>
        <v/>
      </c>
      <c r="K51" s="2">
        <v>1</v>
      </c>
      <c r="L51" s="2">
        <v>3</v>
      </c>
    </row>
    <row r="52" spans="1:12" x14ac:dyDescent="0.25">
      <c r="A52" s="4">
        <v>44971</v>
      </c>
      <c r="B52" s="2">
        <v>15</v>
      </c>
      <c r="C52" s="2">
        <v>4</v>
      </c>
      <c r="D52" s="2">
        <v>7</v>
      </c>
      <c r="E52" s="2">
        <f t="shared" si="3"/>
        <v>3</v>
      </c>
      <c r="F52" s="2">
        <f>D52-K52-L52</f>
        <v>3</v>
      </c>
      <c r="H52" s="2" t="str">
        <f t="shared" si="1"/>
        <v/>
      </c>
      <c r="J52" s="2" t="str">
        <f t="shared" si="2"/>
        <v/>
      </c>
      <c r="K52" s="2">
        <v>2</v>
      </c>
      <c r="L52" s="2">
        <v>2</v>
      </c>
    </row>
    <row r="53" spans="1:12" x14ac:dyDescent="0.25">
      <c r="A53" s="4">
        <v>44971</v>
      </c>
      <c r="B53" s="2">
        <v>16</v>
      </c>
      <c r="C53" s="2">
        <v>3</v>
      </c>
      <c r="D53" s="2">
        <v>5</v>
      </c>
      <c r="E53" s="2">
        <f t="shared" si="3"/>
        <v>2</v>
      </c>
      <c r="F53" s="2">
        <f>D53-K53-L53</f>
        <v>1</v>
      </c>
      <c r="H53" s="2" t="str">
        <f t="shared" si="1"/>
        <v/>
      </c>
      <c r="J53" s="2" t="str">
        <f t="shared" si="2"/>
        <v/>
      </c>
      <c r="K53" s="2">
        <v>1</v>
      </c>
      <c r="L53" s="2">
        <v>3</v>
      </c>
    </row>
    <row r="54" spans="1:12" x14ac:dyDescent="0.25">
      <c r="A54" s="4">
        <v>44971</v>
      </c>
      <c r="B54" s="2">
        <v>17</v>
      </c>
      <c r="C54" s="2">
        <v>4</v>
      </c>
      <c r="D54" s="2">
        <v>8</v>
      </c>
      <c r="E54" s="2">
        <f t="shared" si="3"/>
        <v>4</v>
      </c>
      <c r="F54" s="2">
        <f>D54-K54-L54</f>
        <v>3</v>
      </c>
      <c r="G54" s="2" t="s">
        <v>11</v>
      </c>
      <c r="H54" s="2">
        <f t="shared" si="1"/>
        <v>1</v>
      </c>
      <c r="I54" s="2" t="s">
        <v>11</v>
      </c>
      <c r="J54" s="2">
        <f t="shared" si="2"/>
        <v>2</v>
      </c>
      <c r="K54" s="2">
        <v>3</v>
      </c>
      <c r="L54" s="2">
        <v>2</v>
      </c>
    </row>
    <row r="55" spans="1:12" x14ac:dyDescent="0.25">
      <c r="A55" s="4">
        <v>44971</v>
      </c>
      <c r="B55" s="2">
        <v>18</v>
      </c>
      <c r="C55" s="2">
        <v>5</v>
      </c>
      <c r="D55" s="2">
        <v>6</v>
      </c>
      <c r="E55" s="2">
        <f t="shared" si="3"/>
        <v>1</v>
      </c>
      <c r="F55" s="2">
        <f>D55-K55-L55</f>
        <v>3</v>
      </c>
      <c r="H55" s="2" t="str">
        <f t="shared" si="1"/>
        <v/>
      </c>
      <c r="J55" s="2" t="str">
        <f t="shared" si="2"/>
        <v/>
      </c>
      <c r="K55" s="2">
        <v>2</v>
      </c>
      <c r="L55" s="2">
        <v>1</v>
      </c>
    </row>
    <row r="56" spans="1:12" x14ac:dyDescent="0.25">
      <c r="A56" s="6">
        <v>45019</v>
      </c>
      <c r="B56" s="2">
        <v>1</v>
      </c>
      <c r="C56" s="2">
        <v>5</v>
      </c>
      <c r="D56" s="2">
        <v>8</v>
      </c>
      <c r="E56" s="2">
        <f t="shared" si="3"/>
        <v>3</v>
      </c>
      <c r="F56" s="2">
        <f>D56-K56-L56</f>
        <v>3</v>
      </c>
      <c r="G56" s="2" t="s">
        <v>42</v>
      </c>
      <c r="H56" s="2">
        <f t="shared" si="1"/>
        <v>2</v>
      </c>
      <c r="J56" s="2" t="str">
        <f t="shared" si="2"/>
        <v/>
      </c>
      <c r="K56" s="2">
        <v>2</v>
      </c>
      <c r="L56" s="2">
        <v>3</v>
      </c>
    </row>
    <row r="57" spans="1:12" x14ac:dyDescent="0.25">
      <c r="A57" s="6">
        <v>45019</v>
      </c>
      <c r="B57" s="2">
        <v>2</v>
      </c>
      <c r="C57" s="2">
        <v>3</v>
      </c>
      <c r="D57" s="2">
        <v>6</v>
      </c>
      <c r="E57" s="2">
        <f t="shared" si="3"/>
        <v>3</v>
      </c>
      <c r="F57" s="2">
        <f>D57-K57-L57</f>
        <v>2</v>
      </c>
      <c r="G57" s="2" t="s">
        <v>18</v>
      </c>
      <c r="H57" s="2">
        <f t="shared" si="1"/>
        <v>1</v>
      </c>
      <c r="J57" s="2" t="str">
        <f t="shared" si="2"/>
        <v/>
      </c>
      <c r="K57" s="2">
        <v>1</v>
      </c>
      <c r="L57" s="2">
        <v>3</v>
      </c>
    </row>
    <row r="58" spans="1:12" x14ac:dyDescent="0.25">
      <c r="A58" s="6">
        <v>45019</v>
      </c>
      <c r="B58" s="2">
        <v>3</v>
      </c>
      <c r="C58" s="2">
        <v>4</v>
      </c>
      <c r="D58" s="2">
        <v>6</v>
      </c>
      <c r="E58" s="2">
        <f t="shared" si="3"/>
        <v>2</v>
      </c>
      <c r="F58" s="2">
        <f>D58-K58-L58</f>
        <v>3</v>
      </c>
      <c r="H58" s="2" t="str">
        <f t="shared" si="1"/>
        <v/>
      </c>
      <c r="J58" s="2" t="str">
        <f t="shared" si="2"/>
        <v/>
      </c>
      <c r="K58" s="2">
        <v>1</v>
      </c>
      <c r="L58" s="2">
        <v>2</v>
      </c>
    </row>
    <row r="59" spans="1:12" x14ac:dyDescent="0.25">
      <c r="A59" s="6">
        <v>45019</v>
      </c>
      <c r="B59" s="2">
        <v>4</v>
      </c>
      <c r="C59" s="2">
        <v>4</v>
      </c>
      <c r="D59" s="2">
        <v>7</v>
      </c>
      <c r="E59" s="2">
        <f t="shared" si="3"/>
        <v>3</v>
      </c>
      <c r="F59" s="2">
        <f>D59-K59-L59</f>
        <v>4</v>
      </c>
      <c r="H59" s="2" t="str">
        <f t="shared" si="1"/>
        <v/>
      </c>
      <c r="J59" s="2" t="str">
        <f t="shared" si="2"/>
        <v/>
      </c>
      <c r="K59" s="2">
        <v>1</v>
      </c>
      <c r="L59" s="2">
        <v>2</v>
      </c>
    </row>
    <row r="60" spans="1:12" x14ac:dyDescent="0.25">
      <c r="A60" s="6">
        <v>45019</v>
      </c>
      <c r="B60" s="2">
        <v>5</v>
      </c>
      <c r="C60" s="2">
        <v>5</v>
      </c>
      <c r="D60" s="2">
        <v>6</v>
      </c>
      <c r="E60" s="2">
        <f t="shared" si="3"/>
        <v>1</v>
      </c>
      <c r="F60" s="2">
        <f>D60-K60-L60</f>
        <v>4</v>
      </c>
      <c r="H60" s="2" t="str">
        <f t="shared" si="1"/>
        <v/>
      </c>
      <c r="J60" s="2" t="str">
        <f t="shared" si="2"/>
        <v/>
      </c>
      <c r="K60" s="2">
        <v>1</v>
      </c>
      <c r="L60" s="2">
        <v>1</v>
      </c>
    </row>
    <row r="61" spans="1:12" x14ac:dyDescent="0.25">
      <c r="A61" s="6">
        <v>45019</v>
      </c>
      <c r="B61" s="2">
        <v>6</v>
      </c>
      <c r="C61" s="2">
        <v>4</v>
      </c>
      <c r="D61" s="2">
        <v>5</v>
      </c>
      <c r="E61" s="2">
        <f t="shared" si="3"/>
        <v>1</v>
      </c>
      <c r="F61" s="2">
        <f>D61-K61-L61</f>
        <v>2</v>
      </c>
      <c r="H61" s="2" t="str">
        <f t="shared" si="1"/>
        <v/>
      </c>
      <c r="J61" s="2" t="str">
        <f t="shared" si="2"/>
        <v/>
      </c>
      <c r="K61" s="2">
        <v>1</v>
      </c>
      <c r="L61" s="2">
        <v>2</v>
      </c>
    </row>
    <row r="62" spans="1:12" x14ac:dyDescent="0.25">
      <c r="A62" s="6">
        <v>45019</v>
      </c>
      <c r="B62" s="2">
        <v>7</v>
      </c>
      <c r="C62" s="2">
        <v>4</v>
      </c>
      <c r="D62" s="2">
        <v>6</v>
      </c>
      <c r="E62" s="2">
        <f t="shared" si="3"/>
        <v>2</v>
      </c>
      <c r="F62" s="2">
        <f>D62-K62-L62</f>
        <v>3</v>
      </c>
      <c r="H62" s="2" t="str">
        <f t="shared" si="1"/>
        <v/>
      </c>
      <c r="J62" s="2" t="str">
        <f t="shared" si="2"/>
        <v/>
      </c>
      <c r="K62" s="2">
        <v>1</v>
      </c>
      <c r="L62" s="2">
        <v>2</v>
      </c>
    </row>
    <row r="63" spans="1:12" x14ac:dyDescent="0.25">
      <c r="A63" s="6">
        <v>45019</v>
      </c>
      <c r="B63" s="2">
        <v>8</v>
      </c>
      <c r="C63" s="2">
        <v>3</v>
      </c>
      <c r="D63" s="2">
        <v>5</v>
      </c>
      <c r="E63" s="2">
        <f t="shared" si="3"/>
        <v>2</v>
      </c>
      <c r="F63" s="2">
        <f>D63-K63-L63</f>
        <v>2</v>
      </c>
      <c r="H63" s="2" t="str">
        <f t="shared" si="1"/>
        <v/>
      </c>
      <c r="J63" s="2" t="str">
        <f t="shared" si="2"/>
        <v/>
      </c>
      <c r="K63" s="2">
        <v>2</v>
      </c>
      <c r="L63" s="2">
        <v>1</v>
      </c>
    </row>
    <row r="64" spans="1:12" x14ac:dyDescent="0.25">
      <c r="A64" s="6">
        <v>45019</v>
      </c>
      <c r="B64" s="2">
        <v>9</v>
      </c>
      <c r="C64" s="2">
        <v>4</v>
      </c>
      <c r="D64" s="2">
        <v>7</v>
      </c>
      <c r="E64" s="2">
        <f t="shared" si="3"/>
        <v>3</v>
      </c>
      <c r="F64" s="2">
        <f>D64-K64-L64</f>
        <v>4</v>
      </c>
      <c r="H64" s="2" t="str">
        <f t="shared" si="1"/>
        <v/>
      </c>
      <c r="J64" s="2" t="str">
        <f t="shared" si="2"/>
        <v/>
      </c>
      <c r="K64" s="2">
        <v>1</v>
      </c>
      <c r="L64" s="2">
        <v>2</v>
      </c>
    </row>
    <row r="65" spans="1:12" x14ac:dyDescent="0.25">
      <c r="A65" s="6">
        <v>45019</v>
      </c>
      <c r="B65" s="2">
        <v>10</v>
      </c>
      <c r="C65" s="2">
        <v>4</v>
      </c>
      <c r="D65" s="2">
        <v>9</v>
      </c>
      <c r="E65" s="2">
        <f t="shared" si="3"/>
        <v>5</v>
      </c>
      <c r="F65" s="2">
        <f>D65-K65-L65</f>
        <v>5</v>
      </c>
      <c r="G65" s="2" t="s">
        <v>22</v>
      </c>
      <c r="H65" s="2">
        <f t="shared" si="1"/>
        <v>1</v>
      </c>
      <c r="J65" s="2" t="str">
        <f t="shared" si="2"/>
        <v/>
      </c>
      <c r="K65" s="2">
        <v>2</v>
      </c>
      <c r="L65" s="2">
        <v>2</v>
      </c>
    </row>
    <row r="66" spans="1:12" x14ac:dyDescent="0.25">
      <c r="A66" s="6">
        <v>45019</v>
      </c>
      <c r="B66" s="2">
        <v>11</v>
      </c>
      <c r="C66" s="2">
        <v>3</v>
      </c>
      <c r="D66" s="2">
        <v>3</v>
      </c>
      <c r="E66" s="2">
        <f t="shared" si="3"/>
        <v>0</v>
      </c>
      <c r="F66" s="2">
        <f>D66-K66-L66</f>
        <v>1</v>
      </c>
      <c r="H66" s="2" t="str">
        <f t="shared" si="1"/>
        <v/>
      </c>
      <c r="J66" s="2" t="str">
        <f t="shared" si="2"/>
        <v/>
      </c>
      <c r="K66" s="2">
        <v>0</v>
      </c>
      <c r="L66" s="2">
        <v>2</v>
      </c>
    </row>
    <row r="67" spans="1:12" x14ac:dyDescent="0.25">
      <c r="A67" s="6">
        <v>45019</v>
      </c>
      <c r="B67" s="2">
        <v>12</v>
      </c>
      <c r="C67" s="2">
        <v>4</v>
      </c>
      <c r="D67" s="2">
        <v>7</v>
      </c>
      <c r="E67" s="2">
        <f t="shared" si="3"/>
        <v>3</v>
      </c>
      <c r="F67" s="2">
        <f>D67-K67-L67</f>
        <v>4</v>
      </c>
      <c r="G67" s="2" t="s">
        <v>44</v>
      </c>
      <c r="H67" s="2">
        <f t="shared" ref="H67:H130" si="4">IF(ISBLANK(G67),"",LEN(TRIM(G67))-LEN(SUBSTITUTE(TRIM(G67),",",""))+1)</f>
        <v>2</v>
      </c>
      <c r="J67" s="2" t="str">
        <f t="shared" ref="J67:J130" si="5">IF(ISBLANK(I67),"",LEN(TRIM(I67))-LEN(SUBSTITUTE(TRIM(I67),",",""))+2)</f>
        <v/>
      </c>
      <c r="K67" s="2">
        <v>1</v>
      </c>
      <c r="L67" s="2">
        <v>2</v>
      </c>
    </row>
    <row r="68" spans="1:12" x14ac:dyDescent="0.25">
      <c r="A68" s="6">
        <v>45019</v>
      </c>
      <c r="B68" s="2">
        <v>13</v>
      </c>
      <c r="C68" s="2">
        <v>5</v>
      </c>
      <c r="D68" s="2">
        <v>8</v>
      </c>
      <c r="E68" s="2">
        <f t="shared" si="3"/>
        <v>3</v>
      </c>
      <c r="F68" s="2">
        <f>D68-K68-L68</f>
        <v>4</v>
      </c>
      <c r="G68" s="2" t="s">
        <v>45</v>
      </c>
      <c r="H68" s="2">
        <f t="shared" si="4"/>
        <v>2</v>
      </c>
      <c r="J68" s="2" t="str">
        <f t="shared" si="5"/>
        <v/>
      </c>
      <c r="K68" s="2">
        <v>1</v>
      </c>
      <c r="L68" s="2">
        <v>3</v>
      </c>
    </row>
    <row r="69" spans="1:12" x14ac:dyDescent="0.25">
      <c r="A69" s="6">
        <v>45019</v>
      </c>
      <c r="B69" s="2">
        <v>14</v>
      </c>
      <c r="C69" s="2">
        <v>4</v>
      </c>
      <c r="D69" s="2">
        <v>6</v>
      </c>
      <c r="E69" s="2">
        <f t="shared" si="3"/>
        <v>2</v>
      </c>
      <c r="F69" s="2">
        <f>D69-K69-L69</f>
        <v>4</v>
      </c>
      <c r="H69" s="2" t="str">
        <f t="shared" si="4"/>
        <v/>
      </c>
      <c r="J69" s="2" t="str">
        <f t="shared" si="5"/>
        <v/>
      </c>
      <c r="K69" s="2">
        <v>1</v>
      </c>
      <c r="L69" s="2">
        <v>1</v>
      </c>
    </row>
    <row r="70" spans="1:12" x14ac:dyDescent="0.25">
      <c r="A70" s="6">
        <v>45019</v>
      </c>
      <c r="B70" s="2">
        <v>15</v>
      </c>
      <c r="C70" s="2">
        <v>4</v>
      </c>
      <c r="D70" s="2">
        <v>6</v>
      </c>
      <c r="E70" s="2">
        <f t="shared" si="3"/>
        <v>2</v>
      </c>
      <c r="F70" s="2">
        <f>D70-K70-L70</f>
        <v>3</v>
      </c>
      <c r="H70" s="2" t="str">
        <f t="shared" si="4"/>
        <v/>
      </c>
      <c r="J70" s="2" t="str">
        <f t="shared" si="5"/>
        <v/>
      </c>
      <c r="K70" s="2">
        <v>1</v>
      </c>
      <c r="L70" s="2">
        <v>2</v>
      </c>
    </row>
    <row r="71" spans="1:12" x14ac:dyDescent="0.25">
      <c r="A71" s="6">
        <v>45019</v>
      </c>
      <c r="B71" s="2">
        <v>16</v>
      </c>
      <c r="C71" s="2">
        <v>3</v>
      </c>
      <c r="D71" s="2">
        <v>5</v>
      </c>
      <c r="E71" s="2">
        <f t="shared" si="3"/>
        <v>2</v>
      </c>
      <c r="F71" s="2">
        <f>D71-K71-L71</f>
        <v>3</v>
      </c>
      <c r="G71" s="2" t="s">
        <v>46</v>
      </c>
      <c r="H71" s="2">
        <f t="shared" si="4"/>
        <v>2</v>
      </c>
      <c r="J71" s="2" t="str">
        <f t="shared" si="5"/>
        <v/>
      </c>
      <c r="K71" s="2">
        <v>1</v>
      </c>
      <c r="L71" s="2">
        <v>1</v>
      </c>
    </row>
    <row r="72" spans="1:12" x14ac:dyDescent="0.25">
      <c r="A72" s="6">
        <v>45019</v>
      </c>
      <c r="B72" s="2">
        <v>17</v>
      </c>
      <c r="C72" s="2">
        <v>4</v>
      </c>
      <c r="D72" s="2">
        <v>6</v>
      </c>
      <c r="E72" s="2">
        <f t="shared" si="3"/>
        <v>2</v>
      </c>
      <c r="F72" s="2">
        <f>D72-K72-L72</f>
        <v>3</v>
      </c>
      <c r="H72" s="2" t="str">
        <f t="shared" si="4"/>
        <v/>
      </c>
      <c r="J72" s="2" t="str">
        <f t="shared" si="5"/>
        <v/>
      </c>
      <c r="K72" s="2">
        <v>1</v>
      </c>
      <c r="L72" s="2">
        <v>2</v>
      </c>
    </row>
    <row r="73" spans="1:12" x14ac:dyDescent="0.25">
      <c r="A73" s="6">
        <v>45019</v>
      </c>
      <c r="B73" s="2">
        <v>18</v>
      </c>
      <c r="C73" s="2">
        <v>5</v>
      </c>
      <c r="D73" s="2">
        <v>8</v>
      </c>
      <c r="E73" s="2">
        <f t="shared" si="3"/>
        <v>3</v>
      </c>
      <c r="F73" s="2">
        <f>D73-K73-L73</f>
        <v>4</v>
      </c>
      <c r="H73" s="2" t="str">
        <f t="shared" si="4"/>
        <v/>
      </c>
      <c r="J73" s="2" t="str">
        <f t="shared" si="5"/>
        <v/>
      </c>
      <c r="K73" s="2">
        <v>2</v>
      </c>
      <c r="L73" s="2">
        <v>2</v>
      </c>
    </row>
    <row r="74" spans="1:12" x14ac:dyDescent="0.25">
      <c r="A74" s="6">
        <v>45033</v>
      </c>
      <c r="B74" s="2">
        <v>1</v>
      </c>
      <c r="C74" s="2">
        <v>5</v>
      </c>
      <c r="D74" s="2">
        <v>9</v>
      </c>
      <c r="E74" s="2">
        <f t="shared" si="3"/>
        <v>4</v>
      </c>
      <c r="F74" s="2">
        <f>D74-K74-L74</f>
        <v>4</v>
      </c>
      <c r="G74" s="2" t="s">
        <v>22</v>
      </c>
      <c r="H74" s="2">
        <f t="shared" si="4"/>
        <v>1</v>
      </c>
      <c r="J74" s="2" t="str">
        <f t="shared" si="5"/>
        <v/>
      </c>
      <c r="K74" s="2">
        <v>2</v>
      </c>
      <c r="L74" s="2">
        <v>3</v>
      </c>
    </row>
    <row r="75" spans="1:12" x14ac:dyDescent="0.25">
      <c r="A75" s="6">
        <v>45033</v>
      </c>
      <c r="B75" s="2">
        <v>2</v>
      </c>
      <c r="C75" s="2">
        <v>3</v>
      </c>
      <c r="D75" s="2">
        <v>4</v>
      </c>
      <c r="E75" s="2">
        <f t="shared" si="3"/>
        <v>1</v>
      </c>
      <c r="F75" s="2">
        <f>D75-K75-L75</f>
        <v>1</v>
      </c>
      <c r="H75" s="2" t="str">
        <f t="shared" si="4"/>
        <v/>
      </c>
      <c r="J75" s="2" t="str">
        <f t="shared" si="5"/>
        <v/>
      </c>
      <c r="K75" s="2">
        <v>1</v>
      </c>
      <c r="L75" s="2">
        <v>2</v>
      </c>
    </row>
    <row r="76" spans="1:12" x14ac:dyDescent="0.25">
      <c r="A76" s="6">
        <v>45033</v>
      </c>
      <c r="B76" s="2">
        <v>3</v>
      </c>
      <c r="C76" s="2">
        <v>4</v>
      </c>
      <c r="D76" s="2">
        <v>6</v>
      </c>
      <c r="E76" s="2">
        <f t="shared" si="3"/>
        <v>2</v>
      </c>
      <c r="F76" s="2">
        <f>D76-K76-L76</f>
        <v>3</v>
      </c>
      <c r="G76" s="2" t="s">
        <v>47</v>
      </c>
      <c r="H76" s="2">
        <f t="shared" si="4"/>
        <v>2</v>
      </c>
      <c r="J76" s="2" t="str">
        <f t="shared" si="5"/>
        <v/>
      </c>
      <c r="K76" s="2">
        <v>1</v>
      </c>
      <c r="L76" s="2">
        <v>2</v>
      </c>
    </row>
    <row r="77" spans="1:12" x14ac:dyDescent="0.25">
      <c r="A77" s="6">
        <v>45033</v>
      </c>
      <c r="B77" s="2">
        <v>4</v>
      </c>
      <c r="C77" s="2">
        <v>4</v>
      </c>
      <c r="D77" s="2">
        <v>6</v>
      </c>
      <c r="E77" s="2">
        <f t="shared" si="3"/>
        <v>2</v>
      </c>
      <c r="F77" s="2">
        <f>D77-K77-L77</f>
        <v>3</v>
      </c>
      <c r="H77" s="2" t="str">
        <f t="shared" si="4"/>
        <v/>
      </c>
      <c r="J77" s="2" t="str">
        <f t="shared" si="5"/>
        <v/>
      </c>
      <c r="K77" s="2">
        <v>1</v>
      </c>
      <c r="L77" s="2">
        <v>2</v>
      </c>
    </row>
    <row r="78" spans="1:12" x14ac:dyDescent="0.25">
      <c r="A78" s="6">
        <v>45033</v>
      </c>
      <c r="B78" s="2">
        <v>5</v>
      </c>
      <c r="C78" s="2">
        <v>5</v>
      </c>
      <c r="D78" s="2">
        <v>8</v>
      </c>
      <c r="E78" s="2">
        <f t="shared" si="3"/>
        <v>3</v>
      </c>
      <c r="F78" s="2">
        <f>D78-K78-L78</f>
        <v>4</v>
      </c>
      <c r="H78" s="2" t="str">
        <f t="shared" si="4"/>
        <v/>
      </c>
      <c r="J78" s="2" t="str">
        <f t="shared" si="5"/>
        <v/>
      </c>
      <c r="K78" s="2">
        <v>1</v>
      </c>
      <c r="L78" s="2">
        <v>3</v>
      </c>
    </row>
    <row r="79" spans="1:12" x14ac:dyDescent="0.25">
      <c r="A79" s="6">
        <v>45033</v>
      </c>
      <c r="B79" s="2">
        <v>6</v>
      </c>
      <c r="C79" s="2">
        <v>4</v>
      </c>
      <c r="D79" s="2">
        <v>8</v>
      </c>
      <c r="E79" s="2">
        <f t="shared" si="3"/>
        <v>4</v>
      </c>
      <c r="F79" s="2">
        <f>D79-K79-L79</f>
        <v>3</v>
      </c>
      <c r="H79" s="2" t="str">
        <f t="shared" si="4"/>
        <v/>
      </c>
      <c r="J79" s="2" t="str">
        <f t="shared" si="5"/>
        <v/>
      </c>
      <c r="K79" s="2">
        <v>2</v>
      </c>
      <c r="L79" s="2">
        <v>3</v>
      </c>
    </row>
    <row r="80" spans="1:12" x14ac:dyDescent="0.25">
      <c r="A80" s="6">
        <v>45033</v>
      </c>
      <c r="B80" s="2">
        <v>7</v>
      </c>
      <c r="C80" s="2">
        <v>4</v>
      </c>
      <c r="D80" s="2">
        <v>7</v>
      </c>
      <c r="E80" s="2">
        <f t="shared" si="3"/>
        <v>3</v>
      </c>
      <c r="F80" s="2">
        <f>D80-K80-L80</f>
        <v>4</v>
      </c>
      <c r="H80" s="2" t="str">
        <f t="shared" si="4"/>
        <v/>
      </c>
      <c r="J80" s="2" t="str">
        <f t="shared" si="5"/>
        <v/>
      </c>
      <c r="K80" s="2">
        <v>1</v>
      </c>
      <c r="L80" s="2">
        <v>2</v>
      </c>
    </row>
    <row r="81" spans="1:12" x14ac:dyDescent="0.25">
      <c r="A81" s="6">
        <v>45033</v>
      </c>
      <c r="B81" s="2">
        <v>8</v>
      </c>
      <c r="C81" s="2">
        <v>3</v>
      </c>
      <c r="D81" s="2">
        <v>4</v>
      </c>
      <c r="E81" s="2">
        <f t="shared" si="3"/>
        <v>1</v>
      </c>
      <c r="F81" s="2">
        <f>D81-K81-L81</f>
        <v>1</v>
      </c>
      <c r="H81" s="2" t="str">
        <f t="shared" si="4"/>
        <v/>
      </c>
      <c r="J81" s="2" t="str">
        <f t="shared" si="5"/>
        <v/>
      </c>
      <c r="K81" s="2">
        <v>0</v>
      </c>
      <c r="L81" s="2">
        <v>3</v>
      </c>
    </row>
    <row r="82" spans="1:12" x14ac:dyDescent="0.25">
      <c r="A82" s="6">
        <v>45033</v>
      </c>
      <c r="B82" s="2">
        <v>9</v>
      </c>
      <c r="C82" s="2">
        <v>4</v>
      </c>
      <c r="D82" s="2">
        <v>6</v>
      </c>
      <c r="E82" s="2">
        <f t="shared" si="3"/>
        <v>2</v>
      </c>
      <c r="F82" s="2">
        <f>D82-K82-L82</f>
        <v>3</v>
      </c>
      <c r="H82" s="2" t="str">
        <f t="shared" si="4"/>
        <v/>
      </c>
      <c r="J82" s="2" t="str">
        <f t="shared" si="5"/>
        <v/>
      </c>
      <c r="K82" s="2">
        <v>1</v>
      </c>
      <c r="L82" s="2">
        <v>2</v>
      </c>
    </row>
    <row r="83" spans="1:12" x14ac:dyDescent="0.25">
      <c r="A83" s="6">
        <v>45033</v>
      </c>
      <c r="B83" s="2">
        <v>10</v>
      </c>
      <c r="C83" s="2">
        <v>4</v>
      </c>
      <c r="D83" s="2">
        <v>8</v>
      </c>
      <c r="E83" s="2">
        <f t="shared" si="3"/>
        <v>4</v>
      </c>
      <c r="F83" s="2">
        <f>D83-K83-L83</f>
        <v>4</v>
      </c>
      <c r="H83" s="2" t="str">
        <f t="shared" si="4"/>
        <v/>
      </c>
      <c r="J83" s="2" t="str">
        <f t="shared" si="5"/>
        <v/>
      </c>
      <c r="K83" s="2">
        <v>2</v>
      </c>
      <c r="L83" s="2">
        <v>2</v>
      </c>
    </row>
    <row r="84" spans="1:12" x14ac:dyDescent="0.25">
      <c r="A84" s="6">
        <v>45033</v>
      </c>
      <c r="B84" s="2">
        <v>11</v>
      </c>
      <c r="C84" s="2">
        <v>3</v>
      </c>
      <c r="D84" s="2">
        <v>5</v>
      </c>
      <c r="E84" s="2">
        <f t="shared" si="3"/>
        <v>2</v>
      </c>
      <c r="F84" s="2">
        <f>D84-K84-L84</f>
        <v>1</v>
      </c>
      <c r="H84" s="2" t="str">
        <f t="shared" si="4"/>
        <v/>
      </c>
      <c r="J84" s="2" t="str">
        <f t="shared" si="5"/>
        <v/>
      </c>
      <c r="K84" s="2">
        <v>1</v>
      </c>
      <c r="L84" s="2">
        <v>3</v>
      </c>
    </row>
    <row r="85" spans="1:12" x14ac:dyDescent="0.25">
      <c r="A85" s="6">
        <v>45033</v>
      </c>
      <c r="B85" s="2">
        <v>12</v>
      </c>
      <c r="C85" s="2">
        <v>4</v>
      </c>
      <c r="D85" s="2">
        <v>8</v>
      </c>
      <c r="E85" s="2">
        <f t="shared" si="3"/>
        <v>4</v>
      </c>
      <c r="F85" s="2">
        <f>D85-K85-L85</f>
        <v>4</v>
      </c>
      <c r="G85" s="2" t="s">
        <v>21</v>
      </c>
      <c r="H85" s="2">
        <f t="shared" si="4"/>
        <v>1</v>
      </c>
      <c r="J85" s="2" t="str">
        <f t="shared" si="5"/>
        <v/>
      </c>
      <c r="K85" s="2">
        <v>2</v>
      </c>
      <c r="L85" s="2">
        <v>2</v>
      </c>
    </row>
    <row r="86" spans="1:12" x14ac:dyDescent="0.25">
      <c r="A86" s="6">
        <v>45033</v>
      </c>
      <c r="B86" s="2">
        <v>13</v>
      </c>
      <c r="C86" s="2">
        <v>5</v>
      </c>
      <c r="D86" s="2">
        <v>8</v>
      </c>
      <c r="E86" s="2">
        <f t="shared" si="3"/>
        <v>3</v>
      </c>
      <c r="F86" s="2">
        <f>D86-K86-L86</f>
        <v>5</v>
      </c>
      <c r="G86" s="2" t="s">
        <v>18</v>
      </c>
      <c r="H86" s="2">
        <f t="shared" si="4"/>
        <v>1</v>
      </c>
      <c r="J86" s="2" t="str">
        <f t="shared" si="5"/>
        <v/>
      </c>
      <c r="K86" s="2">
        <v>2</v>
      </c>
      <c r="L86" s="2">
        <v>1</v>
      </c>
    </row>
    <row r="87" spans="1:12" x14ac:dyDescent="0.25">
      <c r="A87" s="6">
        <v>45033</v>
      </c>
      <c r="B87" s="2">
        <v>14</v>
      </c>
      <c r="C87" s="2">
        <v>4</v>
      </c>
      <c r="D87" s="2">
        <v>6</v>
      </c>
      <c r="E87" s="2">
        <f t="shared" si="3"/>
        <v>2</v>
      </c>
      <c r="F87" s="2">
        <f>D87-K87-L87</f>
        <v>3</v>
      </c>
      <c r="H87" s="2" t="str">
        <f t="shared" si="4"/>
        <v/>
      </c>
      <c r="J87" s="2" t="str">
        <f t="shared" si="5"/>
        <v/>
      </c>
      <c r="K87" s="2">
        <v>1</v>
      </c>
      <c r="L87" s="2">
        <v>2</v>
      </c>
    </row>
    <row r="88" spans="1:12" x14ac:dyDescent="0.25">
      <c r="A88" s="6">
        <v>45033</v>
      </c>
      <c r="B88" s="2">
        <v>15</v>
      </c>
      <c r="C88" s="2">
        <v>4</v>
      </c>
      <c r="D88" s="2">
        <v>5</v>
      </c>
      <c r="E88" s="2">
        <f t="shared" si="3"/>
        <v>1</v>
      </c>
      <c r="F88" s="2">
        <f>D88-K88-L88</f>
        <v>3</v>
      </c>
      <c r="H88" s="2" t="str">
        <f t="shared" si="4"/>
        <v/>
      </c>
      <c r="J88" s="2" t="str">
        <f t="shared" si="5"/>
        <v/>
      </c>
      <c r="K88" s="2">
        <v>1</v>
      </c>
      <c r="L88" s="2">
        <v>1</v>
      </c>
    </row>
    <row r="89" spans="1:12" x14ac:dyDescent="0.25">
      <c r="A89" s="6">
        <v>45033</v>
      </c>
      <c r="B89" s="2">
        <v>16</v>
      </c>
      <c r="C89" s="2">
        <v>3</v>
      </c>
      <c r="D89" s="2">
        <v>6</v>
      </c>
      <c r="E89" s="2">
        <f t="shared" si="3"/>
        <v>3</v>
      </c>
      <c r="F89" s="2">
        <f>D89-K89-L89</f>
        <v>1</v>
      </c>
      <c r="H89" s="2" t="str">
        <f t="shared" si="4"/>
        <v/>
      </c>
      <c r="J89" s="2" t="str">
        <f t="shared" si="5"/>
        <v/>
      </c>
      <c r="K89" s="2">
        <v>1</v>
      </c>
      <c r="L89" s="2">
        <v>4</v>
      </c>
    </row>
    <row r="90" spans="1:12" x14ac:dyDescent="0.25">
      <c r="A90" s="6">
        <v>45033</v>
      </c>
      <c r="B90" s="2">
        <v>17</v>
      </c>
      <c r="C90" s="2">
        <v>4</v>
      </c>
      <c r="D90" s="2">
        <v>5</v>
      </c>
      <c r="E90" s="2">
        <f t="shared" si="3"/>
        <v>1</v>
      </c>
      <c r="F90" s="2">
        <f>D90-K90-L90</f>
        <v>2</v>
      </c>
      <c r="H90" s="2" t="str">
        <f t="shared" si="4"/>
        <v/>
      </c>
      <c r="J90" s="2" t="str">
        <f t="shared" si="5"/>
        <v/>
      </c>
      <c r="K90" s="2">
        <v>1</v>
      </c>
      <c r="L90" s="2">
        <v>2</v>
      </c>
    </row>
    <row r="91" spans="1:12" x14ac:dyDescent="0.25">
      <c r="A91" s="6">
        <v>45033</v>
      </c>
      <c r="B91" s="2">
        <v>18</v>
      </c>
      <c r="C91" s="2">
        <v>5</v>
      </c>
      <c r="D91" s="2">
        <v>6</v>
      </c>
      <c r="E91" s="2">
        <f t="shared" si="3"/>
        <v>1</v>
      </c>
      <c r="F91" s="2">
        <f>D91-K91-L91</f>
        <v>3</v>
      </c>
      <c r="H91" s="2" t="str">
        <f t="shared" si="4"/>
        <v/>
      </c>
      <c r="J91" s="2" t="str">
        <f t="shared" si="5"/>
        <v/>
      </c>
      <c r="K91" s="2">
        <v>1</v>
      </c>
      <c r="L91" s="2">
        <v>2</v>
      </c>
    </row>
    <row r="92" spans="1:12" x14ac:dyDescent="0.25">
      <c r="A92" s="4">
        <v>45047</v>
      </c>
      <c r="B92" s="2">
        <v>1</v>
      </c>
      <c r="C92" s="2">
        <v>5</v>
      </c>
      <c r="D92" s="2">
        <v>7</v>
      </c>
      <c r="E92" s="2">
        <f t="shared" si="3"/>
        <v>2</v>
      </c>
      <c r="F92" s="2">
        <f>D92-K92-L92</f>
        <v>4</v>
      </c>
      <c r="H92" s="2" t="str">
        <f t="shared" si="4"/>
        <v/>
      </c>
      <c r="J92" s="2" t="str">
        <f t="shared" si="5"/>
        <v/>
      </c>
      <c r="K92" s="2">
        <v>1</v>
      </c>
      <c r="L92" s="2">
        <v>2</v>
      </c>
    </row>
    <row r="93" spans="1:12" x14ac:dyDescent="0.25">
      <c r="A93" s="4">
        <v>45047</v>
      </c>
      <c r="B93" s="2">
        <v>2</v>
      </c>
      <c r="C93" s="2">
        <v>3</v>
      </c>
      <c r="D93" s="2">
        <v>6</v>
      </c>
      <c r="E93" s="2">
        <f t="shared" si="3"/>
        <v>3</v>
      </c>
      <c r="F93" s="2">
        <f>D93-K93-L93</f>
        <v>2</v>
      </c>
      <c r="H93" s="2" t="str">
        <f t="shared" si="4"/>
        <v/>
      </c>
      <c r="J93" s="2" t="str">
        <f t="shared" si="5"/>
        <v/>
      </c>
      <c r="K93" s="2">
        <v>0</v>
      </c>
      <c r="L93" s="2">
        <v>4</v>
      </c>
    </row>
    <row r="94" spans="1:12" x14ac:dyDescent="0.25">
      <c r="A94" s="4">
        <v>45047</v>
      </c>
      <c r="B94" s="2">
        <v>3</v>
      </c>
      <c r="C94" s="2">
        <v>4</v>
      </c>
      <c r="D94" s="2">
        <v>5</v>
      </c>
      <c r="E94" s="2">
        <f t="shared" si="3"/>
        <v>1</v>
      </c>
      <c r="F94" s="2">
        <f>D94-K94-L94</f>
        <v>2</v>
      </c>
      <c r="H94" s="2" t="str">
        <f t="shared" si="4"/>
        <v/>
      </c>
      <c r="J94" s="2" t="str">
        <f t="shared" si="5"/>
        <v/>
      </c>
      <c r="K94" s="2">
        <v>1</v>
      </c>
      <c r="L94" s="2">
        <v>2</v>
      </c>
    </row>
    <row r="95" spans="1:12" x14ac:dyDescent="0.25">
      <c r="A95" s="4">
        <v>45047</v>
      </c>
      <c r="B95" s="2">
        <v>4</v>
      </c>
      <c r="C95" s="2">
        <v>4</v>
      </c>
      <c r="D95" s="2">
        <v>5</v>
      </c>
      <c r="E95" s="2">
        <f t="shared" si="3"/>
        <v>1</v>
      </c>
      <c r="F95" s="2">
        <f>D95-K95-L95</f>
        <v>3</v>
      </c>
      <c r="H95" s="2" t="str">
        <f t="shared" si="4"/>
        <v/>
      </c>
      <c r="J95" s="2" t="str">
        <f t="shared" si="5"/>
        <v/>
      </c>
      <c r="K95" s="2">
        <v>0</v>
      </c>
      <c r="L95" s="2">
        <v>2</v>
      </c>
    </row>
    <row r="96" spans="1:12" x14ac:dyDescent="0.25">
      <c r="A96" s="4">
        <v>45047</v>
      </c>
      <c r="B96" s="2">
        <v>5</v>
      </c>
      <c r="C96" s="2">
        <v>5</v>
      </c>
      <c r="D96" s="2">
        <v>7</v>
      </c>
      <c r="E96" s="2">
        <f t="shared" si="3"/>
        <v>2</v>
      </c>
      <c r="F96" s="2">
        <f>D96-K96-L96</f>
        <v>4</v>
      </c>
      <c r="H96" s="2" t="str">
        <f t="shared" si="4"/>
        <v/>
      </c>
      <c r="J96" s="2" t="str">
        <f t="shared" si="5"/>
        <v/>
      </c>
      <c r="K96" s="2">
        <v>1</v>
      </c>
      <c r="L96" s="2">
        <v>2</v>
      </c>
    </row>
    <row r="97" spans="1:12" x14ac:dyDescent="0.25">
      <c r="A97" s="4">
        <v>45047</v>
      </c>
      <c r="B97" s="2">
        <v>6</v>
      </c>
      <c r="C97" s="2">
        <v>4</v>
      </c>
      <c r="D97" s="2">
        <v>8</v>
      </c>
      <c r="E97" s="2">
        <f t="shared" si="3"/>
        <v>4</v>
      </c>
      <c r="F97" s="2">
        <f>D97-K97-L97</f>
        <v>4</v>
      </c>
      <c r="G97" s="2" t="s">
        <v>22</v>
      </c>
      <c r="H97" s="2">
        <f t="shared" si="4"/>
        <v>1</v>
      </c>
      <c r="J97" s="2" t="str">
        <f t="shared" si="5"/>
        <v/>
      </c>
      <c r="K97" s="2">
        <v>2</v>
      </c>
      <c r="L97" s="2">
        <v>2</v>
      </c>
    </row>
    <row r="98" spans="1:12" x14ac:dyDescent="0.25">
      <c r="A98" s="4">
        <v>45047</v>
      </c>
      <c r="B98" s="2">
        <v>7</v>
      </c>
      <c r="C98" s="2">
        <v>4</v>
      </c>
      <c r="D98" s="2">
        <v>6</v>
      </c>
      <c r="E98" s="2">
        <f t="shared" si="3"/>
        <v>2</v>
      </c>
      <c r="F98" s="2">
        <f>D98-K98-L98</f>
        <v>4</v>
      </c>
      <c r="H98" s="2" t="str">
        <f t="shared" si="4"/>
        <v/>
      </c>
      <c r="J98" s="2" t="str">
        <f t="shared" si="5"/>
        <v/>
      </c>
      <c r="K98" s="2">
        <v>1</v>
      </c>
      <c r="L98" s="2">
        <v>1</v>
      </c>
    </row>
    <row r="99" spans="1:12" x14ac:dyDescent="0.25">
      <c r="A99" s="4">
        <v>45047</v>
      </c>
      <c r="B99" s="2">
        <v>8</v>
      </c>
      <c r="C99" s="2">
        <v>3</v>
      </c>
      <c r="D99" s="2">
        <v>7</v>
      </c>
      <c r="E99" s="2">
        <f t="shared" si="3"/>
        <v>4</v>
      </c>
      <c r="F99" s="2">
        <f>D99-K99-L99</f>
        <v>2</v>
      </c>
      <c r="H99" s="2" t="str">
        <f t="shared" si="4"/>
        <v/>
      </c>
      <c r="J99" s="2" t="str">
        <f t="shared" si="5"/>
        <v/>
      </c>
      <c r="K99" s="2">
        <v>1</v>
      </c>
      <c r="L99" s="2">
        <v>4</v>
      </c>
    </row>
    <row r="100" spans="1:12" x14ac:dyDescent="0.25">
      <c r="A100" s="4">
        <v>45047</v>
      </c>
      <c r="B100" s="2">
        <v>9</v>
      </c>
      <c r="C100" s="2">
        <v>4</v>
      </c>
      <c r="D100" s="2">
        <v>8</v>
      </c>
      <c r="E100" s="2">
        <f t="shared" si="3"/>
        <v>4</v>
      </c>
      <c r="F100" s="2">
        <f>D100-K100-L100</f>
        <v>5</v>
      </c>
      <c r="G100" s="2" t="s">
        <v>10</v>
      </c>
      <c r="H100" s="2">
        <f t="shared" si="4"/>
        <v>1</v>
      </c>
      <c r="J100" s="2" t="str">
        <f t="shared" si="5"/>
        <v/>
      </c>
      <c r="K100" s="2">
        <v>1</v>
      </c>
      <c r="L100" s="2">
        <v>2</v>
      </c>
    </row>
    <row r="101" spans="1:12" x14ac:dyDescent="0.25">
      <c r="A101" s="4">
        <v>45047</v>
      </c>
      <c r="B101" s="2">
        <v>10</v>
      </c>
      <c r="C101" s="2">
        <v>4</v>
      </c>
      <c r="D101" s="2">
        <v>7</v>
      </c>
      <c r="E101" s="2">
        <f t="shared" si="3"/>
        <v>3</v>
      </c>
      <c r="F101" s="2">
        <f>D101-K101-L101</f>
        <v>4</v>
      </c>
      <c r="H101" s="2" t="str">
        <f t="shared" si="4"/>
        <v/>
      </c>
      <c r="J101" s="2" t="str">
        <f t="shared" si="5"/>
        <v/>
      </c>
      <c r="K101" s="2">
        <v>1</v>
      </c>
      <c r="L101" s="2">
        <v>2</v>
      </c>
    </row>
    <row r="102" spans="1:12" x14ac:dyDescent="0.25">
      <c r="A102" s="4">
        <v>45047</v>
      </c>
      <c r="B102" s="2">
        <v>11</v>
      </c>
      <c r="C102" s="2">
        <v>3</v>
      </c>
      <c r="D102" s="2">
        <v>5</v>
      </c>
      <c r="E102" s="2">
        <f t="shared" si="3"/>
        <v>2</v>
      </c>
      <c r="F102" s="2">
        <f>D102-K102-L102</f>
        <v>1</v>
      </c>
      <c r="H102" s="2" t="str">
        <f t="shared" si="4"/>
        <v/>
      </c>
      <c r="J102" s="2" t="str">
        <f t="shared" si="5"/>
        <v/>
      </c>
      <c r="K102" s="2">
        <v>1</v>
      </c>
      <c r="L102" s="2">
        <v>3</v>
      </c>
    </row>
    <row r="103" spans="1:12" x14ac:dyDescent="0.25">
      <c r="A103" s="4">
        <v>45047</v>
      </c>
      <c r="B103" s="2">
        <v>12</v>
      </c>
      <c r="C103" s="2">
        <v>4</v>
      </c>
      <c r="D103" s="2">
        <v>7</v>
      </c>
      <c r="E103" s="2">
        <f t="shared" si="3"/>
        <v>3</v>
      </c>
      <c r="F103" s="2">
        <f>D103-K103-L103</f>
        <v>3</v>
      </c>
      <c r="H103" s="2" t="str">
        <f t="shared" si="4"/>
        <v/>
      </c>
      <c r="J103" s="2" t="str">
        <f t="shared" si="5"/>
        <v/>
      </c>
      <c r="K103" s="2">
        <v>1</v>
      </c>
      <c r="L103" s="2">
        <v>3</v>
      </c>
    </row>
    <row r="104" spans="1:12" x14ac:dyDescent="0.25">
      <c r="A104" s="4">
        <v>45047</v>
      </c>
      <c r="B104" s="2">
        <v>13</v>
      </c>
      <c r="C104" s="2">
        <v>5</v>
      </c>
      <c r="D104" s="2">
        <v>6</v>
      </c>
      <c r="E104" s="2">
        <f t="shared" si="3"/>
        <v>1</v>
      </c>
      <c r="F104" s="2">
        <f>D104-K104-L104</f>
        <v>4</v>
      </c>
      <c r="H104" s="2" t="str">
        <f t="shared" si="4"/>
        <v/>
      </c>
      <c r="J104" s="2" t="str">
        <f t="shared" si="5"/>
        <v/>
      </c>
      <c r="K104" s="2">
        <v>1</v>
      </c>
      <c r="L104" s="2">
        <v>1</v>
      </c>
    </row>
    <row r="105" spans="1:12" x14ac:dyDescent="0.25">
      <c r="A105" s="4">
        <v>45047</v>
      </c>
      <c r="B105" s="2">
        <v>14</v>
      </c>
      <c r="C105" s="2">
        <v>4</v>
      </c>
      <c r="D105" s="2">
        <v>5</v>
      </c>
      <c r="E105" s="2">
        <f t="shared" si="3"/>
        <v>1</v>
      </c>
      <c r="F105" s="2">
        <f>D105-K105-L105</f>
        <v>2</v>
      </c>
      <c r="H105" s="2" t="str">
        <f t="shared" si="4"/>
        <v/>
      </c>
      <c r="J105" s="2" t="str">
        <f t="shared" si="5"/>
        <v/>
      </c>
      <c r="K105" s="2">
        <v>1</v>
      </c>
      <c r="L105" s="2">
        <v>2</v>
      </c>
    </row>
    <row r="106" spans="1:12" x14ac:dyDescent="0.25">
      <c r="A106" s="4">
        <v>45047</v>
      </c>
      <c r="B106" s="2">
        <v>15</v>
      </c>
      <c r="C106" s="2">
        <v>4</v>
      </c>
      <c r="D106" s="2">
        <v>8</v>
      </c>
      <c r="E106" s="2">
        <f t="shared" si="3"/>
        <v>4</v>
      </c>
      <c r="F106" s="2">
        <f>D106-K106-L106</f>
        <v>4</v>
      </c>
      <c r="G106" s="2" t="s">
        <v>21</v>
      </c>
      <c r="H106" s="2">
        <f t="shared" si="4"/>
        <v>1</v>
      </c>
      <c r="J106" s="2" t="str">
        <f t="shared" si="5"/>
        <v/>
      </c>
      <c r="K106" s="2">
        <v>1</v>
      </c>
      <c r="L106" s="2">
        <v>3</v>
      </c>
    </row>
    <row r="107" spans="1:12" x14ac:dyDescent="0.25">
      <c r="A107" s="4">
        <v>45047</v>
      </c>
      <c r="B107" s="2">
        <v>16</v>
      </c>
      <c r="C107" s="2">
        <v>3</v>
      </c>
      <c r="D107" s="2">
        <v>4</v>
      </c>
      <c r="E107" s="2">
        <f t="shared" si="3"/>
        <v>1</v>
      </c>
      <c r="F107" s="2">
        <f>D107-K107-L107</f>
        <v>1</v>
      </c>
      <c r="H107" s="2" t="str">
        <f t="shared" si="4"/>
        <v/>
      </c>
      <c r="J107" s="2" t="str">
        <f t="shared" si="5"/>
        <v/>
      </c>
      <c r="K107" s="2">
        <v>1</v>
      </c>
      <c r="L107" s="2">
        <v>2</v>
      </c>
    </row>
    <row r="108" spans="1:12" x14ac:dyDescent="0.25">
      <c r="A108" s="4">
        <v>45047</v>
      </c>
      <c r="B108" s="2">
        <v>17</v>
      </c>
      <c r="C108" s="2">
        <v>4</v>
      </c>
      <c r="D108" s="2">
        <v>6</v>
      </c>
      <c r="E108" s="2">
        <f t="shared" si="3"/>
        <v>2</v>
      </c>
      <c r="F108" s="2">
        <f>D108-K108-L108</f>
        <v>2</v>
      </c>
      <c r="G108" s="2" t="s">
        <v>18</v>
      </c>
      <c r="H108" s="2">
        <f t="shared" si="4"/>
        <v>1</v>
      </c>
      <c r="J108" s="2" t="str">
        <f t="shared" si="5"/>
        <v/>
      </c>
      <c r="K108" s="2">
        <v>2</v>
      </c>
      <c r="L108" s="2">
        <v>2</v>
      </c>
    </row>
    <row r="109" spans="1:12" x14ac:dyDescent="0.25">
      <c r="A109" s="4">
        <v>45047</v>
      </c>
      <c r="B109" s="2">
        <v>18</v>
      </c>
      <c r="C109" s="2">
        <v>5</v>
      </c>
      <c r="D109" s="2">
        <v>7</v>
      </c>
      <c r="E109" s="2">
        <f t="shared" si="3"/>
        <v>2</v>
      </c>
      <c r="F109" s="2">
        <f>D109-K109-L109</f>
        <v>4</v>
      </c>
      <c r="H109" s="2" t="str">
        <f t="shared" si="4"/>
        <v/>
      </c>
      <c r="J109" s="2" t="str">
        <f t="shared" si="5"/>
        <v/>
      </c>
      <c r="K109" s="2">
        <v>1</v>
      </c>
      <c r="L109" s="2">
        <v>2</v>
      </c>
    </row>
    <row r="110" spans="1:12" x14ac:dyDescent="0.25">
      <c r="A110" s="6">
        <v>45068</v>
      </c>
      <c r="B110" s="2">
        <v>1</v>
      </c>
      <c r="C110" s="2">
        <v>5</v>
      </c>
      <c r="D110" s="2">
        <v>8</v>
      </c>
      <c r="E110" s="2">
        <f t="shared" si="3"/>
        <v>3</v>
      </c>
      <c r="F110" s="2">
        <f>D110-K110-L110</f>
        <v>4</v>
      </c>
      <c r="H110" s="2" t="str">
        <f t="shared" si="4"/>
        <v/>
      </c>
      <c r="J110" s="2" t="str">
        <f t="shared" si="5"/>
        <v/>
      </c>
      <c r="K110" s="2">
        <v>1</v>
      </c>
      <c r="L110" s="2">
        <v>3</v>
      </c>
    </row>
    <row r="111" spans="1:12" x14ac:dyDescent="0.25">
      <c r="A111" s="6">
        <v>45068</v>
      </c>
      <c r="B111" s="2">
        <v>2</v>
      </c>
      <c r="C111" s="2">
        <v>3</v>
      </c>
      <c r="D111" s="2">
        <v>5</v>
      </c>
      <c r="E111" s="2">
        <f t="shared" si="3"/>
        <v>2</v>
      </c>
      <c r="F111" s="2">
        <f>D111-K111-L111</f>
        <v>2</v>
      </c>
      <c r="G111" s="2" t="s">
        <v>18</v>
      </c>
      <c r="H111" s="2">
        <f t="shared" si="4"/>
        <v>1</v>
      </c>
      <c r="J111" s="2" t="str">
        <f t="shared" si="5"/>
        <v/>
      </c>
      <c r="K111" s="2">
        <v>2</v>
      </c>
      <c r="L111" s="2">
        <v>1</v>
      </c>
    </row>
    <row r="112" spans="1:12" x14ac:dyDescent="0.25">
      <c r="A112" s="6">
        <v>45068</v>
      </c>
      <c r="B112" s="2">
        <v>3</v>
      </c>
      <c r="C112" s="2">
        <v>4</v>
      </c>
      <c r="D112" s="2">
        <v>9</v>
      </c>
      <c r="E112" s="2">
        <f t="shared" si="3"/>
        <v>5</v>
      </c>
      <c r="F112" s="2">
        <f>D112-K112-L112</f>
        <v>4</v>
      </c>
      <c r="G112" s="2" t="s">
        <v>18</v>
      </c>
      <c r="H112" s="2">
        <f t="shared" si="4"/>
        <v>1</v>
      </c>
      <c r="I112" s="2" t="s">
        <v>11</v>
      </c>
      <c r="J112" s="2">
        <f t="shared" si="5"/>
        <v>2</v>
      </c>
      <c r="K112" s="2">
        <v>2</v>
      </c>
      <c r="L112" s="2">
        <v>3</v>
      </c>
    </row>
    <row r="113" spans="1:12" x14ac:dyDescent="0.25">
      <c r="A113" s="6">
        <v>45068</v>
      </c>
      <c r="B113" s="2">
        <v>4</v>
      </c>
      <c r="C113" s="2">
        <v>4</v>
      </c>
      <c r="D113" s="2">
        <v>7</v>
      </c>
      <c r="E113" s="2">
        <f t="shared" si="3"/>
        <v>3</v>
      </c>
      <c r="F113" s="2">
        <f>D113-K113-L113</f>
        <v>4</v>
      </c>
      <c r="G113" s="2" t="s">
        <v>18</v>
      </c>
      <c r="H113" s="2">
        <f t="shared" si="4"/>
        <v>1</v>
      </c>
      <c r="I113" s="2" t="s">
        <v>11</v>
      </c>
      <c r="J113" s="2">
        <f t="shared" si="5"/>
        <v>2</v>
      </c>
      <c r="K113" s="2">
        <v>1</v>
      </c>
      <c r="L113" s="2">
        <v>2</v>
      </c>
    </row>
    <row r="114" spans="1:12" x14ac:dyDescent="0.25">
      <c r="A114" s="6">
        <v>45068</v>
      </c>
      <c r="B114" s="2">
        <v>5</v>
      </c>
      <c r="C114" s="2">
        <v>5</v>
      </c>
      <c r="D114" s="2">
        <v>6</v>
      </c>
      <c r="E114" s="2">
        <f t="shared" si="3"/>
        <v>1</v>
      </c>
      <c r="F114" s="2">
        <f>D114-K114-L114</f>
        <v>3</v>
      </c>
      <c r="H114" s="2" t="str">
        <f t="shared" si="4"/>
        <v/>
      </c>
      <c r="J114" s="2" t="str">
        <f t="shared" si="5"/>
        <v/>
      </c>
      <c r="K114" s="2">
        <v>1</v>
      </c>
      <c r="L114" s="2">
        <v>2</v>
      </c>
    </row>
    <row r="115" spans="1:12" x14ac:dyDescent="0.25">
      <c r="A115" s="6">
        <v>45068</v>
      </c>
      <c r="B115" s="2">
        <v>6</v>
      </c>
      <c r="C115" s="2">
        <v>4</v>
      </c>
      <c r="D115" s="2">
        <v>7</v>
      </c>
      <c r="E115" s="2">
        <f t="shared" si="3"/>
        <v>3</v>
      </c>
      <c r="F115" s="2">
        <f>D115-K115-L115</f>
        <v>3</v>
      </c>
      <c r="H115" s="2" t="str">
        <f t="shared" si="4"/>
        <v/>
      </c>
      <c r="J115" s="2" t="str">
        <f t="shared" si="5"/>
        <v/>
      </c>
      <c r="K115" s="2">
        <v>2</v>
      </c>
      <c r="L115" s="2">
        <v>2</v>
      </c>
    </row>
    <row r="116" spans="1:12" x14ac:dyDescent="0.25">
      <c r="A116" s="6">
        <v>45068</v>
      </c>
      <c r="B116" s="2">
        <v>7</v>
      </c>
      <c r="C116" s="2">
        <v>4</v>
      </c>
      <c r="D116" s="2">
        <v>5</v>
      </c>
      <c r="E116" s="2">
        <f t="shared" si="3"/>
        <v>1</v>
      </c>
      <c r="F116" s="2">
        <f>D116-K116-L116</f>
        <v>2</v>
      </c>
      <c r="H116" s="2" t="str">
        <f t="shared" si="4"/>
        <v/>
      </c>
      <c r="J116" s="2" t="str">
        <f t="shared" si="5"/>
        <v/>
      </c>
      <c r="K116" s="2">
        <v>0</v>
      </c>
      <c r="L116" s="2">
        <v>3</v>
      </c>
    </row>
    <row r="117" spans="1:12" x14ac:dyDescent="0.25">
      <c r="A117" s="6">
        <v>45068</v>
      </c>
      <c r="B117" s="2">
        <v>8</v>
      </c>
      <c r="C117" s="2">
        <v>3</v>
      </c>
      <c r="D117" s="2">
        <v>7</v>
      </c>
      <c r="E117" s="2">
        <f t="shared" si="3"/>
        <v>4</v>
      </c>
      <c r="F117" s="2">
        <f>D117-K117-L117</f>
        <v>1</v>
      </c>
      <c r="G117" s="2" t="s">
        <v>10</v>
      </c>
      <c r="H117" s="2">
        <f t="shared" si="4"/>
        <v>1</v>
      </c>
      <c r="J117" s="2" t="str">
        <f t="shared" si="5"/>
        <v/>
      </c>
      <c r="K117" s="2">
        <v>2</v>
      </c>
      <c r="L117" s="2">
        <v>4</v>
      </c>
    </row>
    <row r="118" spans="1:12" x14ac:dyDescent="0.25">
      <c r="A118" s="6">
        <v>45068</v>
      </c>
      <c r="B118" s="2">
        <v>9</v>
      </c>
      <c r="C118" s="2">
        <v>4</v>
      </c>
      <c r="D118" s="2">
        <v>6</v>
      </c>
      <c r="E118" s="2">
        <f t="shared" si="3"/>
        <v>2</v>
      </c>
      <c r="F118" s="2">
        <f>D118-K118-L118</f>
        <v>3</v>
      </c>
      <c r="H118" s="2" t="str">
        <f t="shared" si="4"/>
        <v/>
      </c>
      <c r="J118" s="2" t="str">
        <f t="shared" si="5"/>
        <v/>
      </c>
      <c r="K118" s="2">
        <v>1</v>
      </c>
      <c r="L118" s="2">
        <v>2</v>
      </c>
    </row>
    <row r="119" spans="1:12" x14ac:dyDescent="0.25">
      <c r="A119" s="6">
        <v>45068</v>
      </c>
      <c r="B119" s="2">
        <v>10</v>
      </c>
      <c r="C119" s="2">
        <v>4</v>
      </c>
      <c r="D119" s="2">
        <v>6</v>
      </c>
      <c r="E119" s="2">
        <f t="shared" si="3"/>
        <v>2</v>
      </c>
      <c r="F119" s="2">
        <f>D119-K119-L119</f>
        <v>2</v>
      </c>
      <c r="H119" s="2" t="str">
        <f t="shared" si="4"/>
        <v/>
      </c>
      <c r="J119" s="2" t="str">
        <f t="shared" si="5"/>
        <v/>
      </c>
      <c r="K119" s="2">
        <v>1</v>
      </c>
      <c r="L119" s="2">
        <v>3</v>
      </c>
    </row>
    <row r="120" spans="1:12" x14ac:dyDescent="0.25">
      <c r="A120" s="6">
        <v>45068</v>
      </c>
      <c r="B120" s="2">
        <v>11</v>
      </c>
      <c r="C120" s="2">
        <v>3</v>
      </c>
      <c r="D120" s="2">
        <v>6</v>
      </c>
      <c r="E120" s="2">
        <f t="shared" si="3"/>
        <v>3</v>
      </c>
      <c r="F120" s="2">
        <f>D120-K120-L120</f>
        <v>1</v>
      </c>
      <c r="H120" s="2" t="str">
        <f t="shared" si="4"/>
        <v/>
      </c>
      <c r="J120" s="2" t="str">
        <f t="shared" si="5"/>
        <v/>
      </c>
      <c r="K120" s="2">
        <v>3</v>
      </c>
      <c r="L120" s="2">
        <v>2</v>
      </c>
    </row>
    <row r="121" spans="1:12" x14ac:dyDescent="0.25">
      <c r="A121" s="6">
        <v>45068</v>
      </c>
      <c r="B121" s="2">
        <v>12</v>
      </c>
      <c r="C121" s="2">
        <v>4</v>
      </c>
      <c r="D121" s="2">
        <v>6</v>
      </c>
      <c r="E121" s="2">
        <f t="shared" si="3"/>
        <v>2</v>
      </c>
      <c r="F121" s="2">
        <f>D121-K121-L121</f>
        <v>3</v>
      </c>
      <c r="H121" s="2" t="str">
        <f t="shared" si="4"/>
        <v/>
      </c>
      <c r="J121" s="2" t="str">
        <f t="shared" si="5"/>
        <v/>
      </c>
      <c r="K121" s="2">
        <v>1</v>
      </c>
      <c r="L121" s="2">
        <v>2</v>
      </c>
    </row>
    <row r="122" spans="1:12" x14ac:dyDescent="0.25">
      <c r="A122" s="6">
        <v>45068</v>
      </c>
      <c r="B122" s="2">
        <v>13</v>
      </c>
      <c r="C122" s="2">
        <v>5</v>
      </c>
      <c r="D122" s="2">
        <v>10</v>
      </c>
      <c r="E122" s="2">
        <f t="shared" si="3"/>
        <v>5</v>
      </c>
      <c r="F122" s="2">
        <f>D122-K122-L122</f>
        <v>4</v>
      </c>
      <c r="G122" s="2" t="s">
        <v>48</v>
      </c>
      <c r="H122" s="2">
        <f t="shared" si="4"/>
        <v>2</v>
      </c>
      <c r="J122" s="2" t="str">
        <f t="shared" si="5"/>
        <v/>
      </c>
      <c r="K122" s="2">
        <v>1</v>
      </c>
      <c r="L122" s="2">
        <v>5</v>
      </c>
    </row>
    <row r="123" spans="1:12" x14ac:dyDescent="0.25">
      <c r="A123" s="6">
        <v>45068</v>
      </c>
      <c r="B123" s="2">
        <v>14</v>
      </c>
      <c r="C123" s="2">
        <v>4</v>
      </c>
      <c r="D123" s="2">
        <v>8</v>
      </c>
      <c r="E123" s="2">
        <f t="shared" si="3"/>
        <v>4</v>
      </c>
      <c r="F123" s="2">
        <f>D123-K123-L123</f>
        <v>3</v>
      </c>
      <c r="H123" s="2" t="str">
        <f t="shared" si="4"/>
        <v/>
      </c>
      <c r="J123" s="2" t="str">
        <f t="shared" si="5"/>
        <v/>
      </c>
      <c r="K123" s="2">
        <v>3</v>
      </c>
      <c r="L123" s="2">
        <v>2</v>
      </c>
    </row>
    <row r="124" spans="1:12" x14ac:dyDescent="0.25">
      <c r="A124" s="6">
        <v>45068</v>
      </c>
      <c r="B124" s="2">
        <v>15</v>
      </c>
      <c r="C124" s="2">
        <v>4</v>
      </c>
      <c r="D124" s="2">
        <v>7</v>
      </c>
      <c r="E124" s="2">
        <f t="shared" si="3"/>
        <v>3</v>
      </c>
      <c r="F124" s="2">
        <f>D124-K124-L124</f>
        <v>3</v>
      </c>
      <c r="G124" s="2" t="s">
        <v>18</v>
      </c>
      <c r="H124" s="2">
        <f t="shared" si="4"/>
        <v>1</v>
      </c>
      <c r="J124" s="2" t="str">
        <f t="shared" si="5"/>
        <v/>
      </c>
      <c r="K124" s="2">
        <v>1</v>
      </c>
      <c r="L124" s="2">
        <v>3</v>
      </c>
    </row>
    <row r="125" spans="1:12" x14ac:dyDescent="0.25">
      <c r="A125" s="6">
        <v>45068</v>
      </c>
      <c r="B125" s="2">
        <v>16</v>
      </c>
      <c r="C125" s="2">
        <v>3</v>
      </c>
      <c r="D125" s="2">
        <v>4</v>
      </c>
      <c r="E125" s="2">
        <f t="shared" si="3"/>
        <v>1</v>
      </c>
      <c r="F125" s="2">
        <f>D125-K125-L125</f>
        <v>1</v>
      </c>
      <c r="H125" s="2" t="str">
        <f t="shared" si="4"/>
        <v/>
      </c>
      <c r="J125" s="2" t="str">
        <f t="shared" si="5"/>
        <v/>
      </c>
      <c r="K125" s="2">
        <v>2</v>
      </c>
      <c r="L125" s="2">
        <v>1</v>
      </c>
    </row>
    <row r="126" spans="1:12" x14ac:dyDescent="0.25">
      <c r="A126" s="6">
        <v>45068</v>
      </c>
      <c r="B126" s="2">
        <v>17</v>
      </c>
      <c r="C126" s="2">
        <v>4</v>
      </c>
      <c r="D126" s="2">
        <v>7</v>
      </c>
      <c r="E126" s="2">
        <f t="shared" si="3"/>
        <v>3</v>
      </c>
      <c r="F126" s="2">
        <f>D126-K126-L126</f>
        <v>5</v>
      </c>
      <c r="G126" s="2" t="s">
        <v>18</v>
      </c>
      <c r="H126" s="2">
        <f t="shared" si="4"/>
        <v>1</v>
      </c>
      <c r="J126" s="2" t="str">
        <f t="shared" si="5"/>
        <v/>
      </c>
      <c r="K126" s="2">
        <v>1</v>
      </c>
      <c r="L126" s="2">
        <v>1</v>
      </c>
    </row>
    <row r="127" spans="1:12" x14ac:dyDescent="0.25">
      <c r="A127" s="6">
        <v>45068</v>
      </c>
      <c r="B127" s="2">
        <v>18</v>
      </c>
      <c r="C127" s="2">
        <v>5</v>
      </c>
      <c r="D127" s="2">
        <v>8</v>
      </c>
      <c r="E127" s="2">
        <f t="shared" si="3"/>
        <v>3</v>
      </c>
      <c r="F127" s="2">
        <f>D127-K127-L127</f>
        <v>3</v>
      </c>
      <c r="G127" s="2" t="s">
        <v>18</v>
      </c>
      <c r="H127" s="2">
        <f t="shared" si="4"/>
        <v>1</v>
      </c>
      <c r="J127" s="2" t="str">
        <f t="shared" si="5"/>
        <v/>
      </c>
      <c r="K127" s="2">
        <v>2</v>
      </c>
      <c r="L127" s="2">
        <v>3</v>
      </c>
    </row>
    <row r="128" spans="1:12" x14ac:dyDescent="0.25">
      <c r="A128" s="6">
        <v>45075</v>
      </c>
      <c r="B128" s="2">
        <v>1</v>
      </c>
      <c r="C128" s="2">
        <v>5</v>
      </c>
      <c r="D128" s="2">
        <v>11</v>
      </c>
      <c r="E128" s="2">
        <f t="shared" si="3"/>
        <v>6</v>
      </c>
      <c r="F128" s="2">
        <f>D128-K128-L128</f>
        <v>7</v>
      </c>
      <c r="G128" s="2" t="s">
        <v>22</v>
      </c>
      <c r="H128" s="2">
        <f t="shared" si="4"/>
        <v>1</v>
      </c>
      <c r="J128" s="2" t="str">
        <f t="shared" si="5"/>
        <v/>
      </c>
      <c r="K128" s="2">
        <v>2</v>
      </c>
      <c r="L128" s="2">
        <v>2</v>
      </c>
    </row>
    <row r="129" spans="1:12" x14ac:dyDescent="0.25">
      <c r="A129" s="6">
        <v>45075</v>
      </c>
      <c r="B129" s="2">
        <v>2</v>
      </c>
      <c r="C129" s="2">
        <v>3</v>
      </c>
      <c r="D129" s="2">
        <v>6</v>
      </c>
      <c r="E129" s="2">
        <f t="shared" si="3"/>
        <v>3</v>
      </c>
      <c r="F129" s="2">
        <f>D129-K129-L129</f>
        <v>2</v>
      </c>
      <c r="H129" s="2" t="str">
        <f t="shared" si="4"/>
        <v/>
      </c>
      <c r="J129" s="2" t="str">
        <f t="shared" si="5"/>
        <v/>
      </c>
      <c r="K129" s="2">
        <v>1</v>
      </c>
      <c r="L129" s="2">
        <v>3</v>
      </c>
    </row>
    <row r="130" spans="1:12" x14ac:dyDescent="0.25">
      <c r="A130" s="6">
        <v>45075</v>
      </c>
      <c r="B130" s="2">
        <v>3</v>
      </c>
      <c r="C130" s="2">
        <v>4</v>
      </c>
      <c r="D130" s="2">
        <v>6</v>
      </c>
      <c r="E130" s="2">
        <f t="shared" si="3"/>
        <v>2</v>
      </c>
      <c r="F130" s="2">
        <f>D130-K130-L130</f>
        <v>3</v>
      </c>
      <c r="H130" s="2" t="str">
        <f t="shared" si="4"/>
        <v/>
      </c>
      <c r="J130" s="2" t="str">
        <f t="shared" si="5"/>
        <v/>
      </c>
      <c r="K130" s="2">
        <v>1</v>
      </c>
      <c r="L130" s="2">
        <v>2</v>
      </c>
    </row>
    <row r="131" spans="1:12" x14ac:dyDescent="0.25">
      <c r="A131" s="6">
        <v>45075</v>
      </c>
      <c r="B131" s="2">
        <v>4</v>
      </c>
      <c r="C131" s="2">
        <v>4</v>
      </c>
      <c r="D131" s="2">
        <v>6</v>
      </c>
      <c r="E131" s="2">
        <f t="shared" si="3"/>
        <v>2</v>
      </c>
      <c r="F131" s="2">
        <f>D131-K131-L131</f>
        <v>3</v>
      </c>
      <c r="H131" s="2" t="str">
        <f t="shared" ref="H131:H145" si="6">IF(ISBLANK(G131),"",LEN(TRIM(G131))-LEN(SUBSTITUTE(TRIM(G131),",",""))+1)</f>
        <v/>
      </c>
      <c r="J131" s="2" t="str">
        <f t="shared" ref="J131:J145" si="7">IF(ISBLANK(I131),"",LEN(TRIM(I131))-LEN(SUBSTITUTE(TRIM(I131),",",""))+2)</f>
        <v/>
      </c>
      <c r="K131" s="2">
        <v>1</v>
      </c>
      <c r="L131" s="2">
        <v>2</v>
      </c>
    </row>
    <row r="132" spans="1:12" x14ac:dyDescent="0.25">
      <c r="A132" s="6">
        <v>45075</v>
      </c>
      <c r="B132" s="2">
        <v>5</v>
      </c>
      <c r="C132" s="2">
        <v>5</v>
      </c>
      <c r="D132" s="2">
        <v>7</v>
      </c>
      <c r="E132" s="2">
        <f t="shared" si="3"/>
        <v>2</v>
      </c>
      <c r="F132" s="2">
        <f>D132-K132-L132</f>
        <v>3</v>
      </c>
      <c r="H132" s="2" t="str">
        <f t="shared" si="6"/>
        <v/>
      </c>
      <c r="J132" s="2" t="str">
        <f t="shared" si="7"/>
        <v/>
      </c>
      <c r="K132" s="2">
        <v>1</v>
      </c>
      <c r="L132" s="2">
        <v>3</v>
      </c>
    </row>
    <row r="133" spans="1:12" x14ac:dyDescent="0.25">
      <c r="A133" s="6">
        <v>45075</v>
      </c>
      <c r="B133" s="2">
        <v>6</v>
      </c>
      <c r="C133" s="2">
        <v>4</v>
      </c>
      <c r="D133" s="2">
        <v>9</v>
      </c>
      <c r="E133" s="2">
        <f t="shared" si="3"/>
        <v>5</v>
      </c>
      <c r="F133" s="2">
        <f>D133-K133-L133</f>
        <v>3</v>
      </c>
      <c r="H133" s="2" t="str">
        <f t="shared" si="6"/>
        <v/>
      </c>
      <c r="J133" s="2" t="str">
        <f t="shared" si="7"/>
        <v/>
      </c>
      <c r="K133" s="2">
        <v>3</v>
      </c>
      <c r="L133" s="2">
        <v>3</v>
      </c>
    </row>
    <row r="134" spans="1:12" x14ac:dyDescent="0.25">
      <c r="A134" s="6">
        <v>45075</v>
      </c>
      <c r="B134" s="2">
        <v>7</v>
      </c>
      <c r="C134" s="2">
        <v>4</v>
      </c>
      <c r="D134" s="2">
        <v>6</v>
      </c>
      <c r="E134" s="2">
        <f t="shared" si="3"/>
        <v>2</v>
      </c>
      <c r="F134" s="2">
        <f>D134-K134-L134</f>
        <v>3</v>
      </c>
      <c r="H134" s="2" t="str">
        <f t="shared" si="6"/>
        <v/>
      </c>
      <c r="J134" s="2" t="str">
        <f t="shared" si="7"/>
        <v/>
      </c>
      <c r="K134" s="2">
        <v>1</v>
      </c>
      <c r="L134" s="2">
        <v>2</v>
      </c>
    </row>
    <row r="135" spans="1:12" x14ac:dyDescent="0.25">
      <c r="A135" s="6">
        <v>45075</v>
      </c>
      <c r="B135" s="2">
        <v>8</v>
      </c>
      <c r="C135" s="2">
        <v>3</v>
      </c>
      <c r="D135" s="2">
        <v>4</v>
      </c>
      <c r="E135" s="2">
        <f t="shared" si="3"/>
        <v>1</v>
      </c>
      <c r="F135" s="2">
        <f>D135-K135-L135</f>
        <v>1</v>
      </c>
      <c r="H135" s="2" t="str">
        <f t="shared" si="6"/>
        <v/>
      </c>
      <c r="J135" s="2" t="str">
        <f t="shared" si="7"/>
        <v/>
      </c>
      <c r="K135" s="2">
        <v>1</v>
      </c>
      <c r="L135" s="2">
        <v>2</v>
      </c>
    </row>
    <row r="136" spans="1:12" x14ac:dyDescent="0.25">
      <c r="A136" s="6">
        <v>45075</v>
      </c>
      <c r="B136" s="2">
        <v>9</v>
      </c>
      <c r="C136" s="2">
        <v>4</v>
      </c>
      <c r="D136" s="2">
        <v>7</v>
      </c>
      <c r="E136" s="2">
        <f t="shared" si="3"/>
        <v>3</v>
      </c>
      <c r="F136" s="2">
        <f>D136-K136-L136</f>
        <v>3</v>
      </c>
      <c r="G136" s="2" t="s">
        <v>22</v>
      </c>
      <c r="H136" s="2">
        <f t="shared" si="6"/>
        <v>1</v>
      </c>
      <c r="J136" s="2" t="str">
        <f t="shared" si="7"/>
        <v/>
      </c>
      <c r="K136" s="2">
        <v>2</v>
      </c>
      <c r="L136" s="2">
        <v>2</v>
      </c>
    </row>
    <row r="137" spans="1:12" x14ac:dyDescent="0.25">
      <c r="A137" s="6">
        <v>45075</v>
      </c>
      <c r="B137" s="2">
        <v>10</v>
      </c>
      <c r="C137" s="2">
        <v>4</v>
      </c>
      <c r="D137" s="2">
        <v>8</v>
      </c>
      <c r="E137" s="2">
        <f t="shared" si="3"/>
        <v>4</v>
      </c>
      <c r="F137" s="2">
        <f>D137-K137-L137</f>
        <v>4</v>
      </c>
      <c r="H137" s="2" t="str">
        <f t="shared" si="6"/>
        <v/>
      </c>
      <c r="J137" s="2" t="str">
        <f t="shared" si="7"/>
        <v/>
      </c>
      <c r="K137" s="2">
        <v>2</v>
      </c>
      <c r="L137" s="2">
        <v>2</v>
      </c>
    </row>
    <row r="138" spans="1:12" x14ac:dyDescent="0.25">
      <c r="A138" s="6">
        <v>45075</v>
      </c>
      <c r="B138" s="2">
        <v>11</v>
      </c>
      <c r="C138" s="2">
        <v>3</v>
      </c>
      <c r="D138" s="2">
        <v>4</v>
      </c>
      <c r="E138" s="2">
        <f t="shared" si="3"/>
        <v>1</v>
      </c>
      <c r="F138" s="2">
        <f>D138-K138-L138</f>
        <v>1</v>
      </c>
      <c r="H138" s="2" t="str">
        <f t="shared" si="6"/>
        <v/>
      </c>
      <c r="J138" s="2" t="str">
        <f t="shared" si="7"/>
        <v/>
      </c>
      <c r="K138" s="2">
        <v>0</v>
      </c>
      <c r="L138" s="2">
        <v>3</v>
      </c>
    </row>
    <row r="139" spans="1:12" x14ac:dyDescent="0.25">
      <c r="A139" s="6">
        <v>45075</v>
      </c>
      <c r="B139" s="2">
        <v>12</v>
      </c>
      <c r="C139" s="2">
        <v>4</v>
      </c>
      <c r="D139" s="2">
        <v>7</v>
      </c>
      <c r="E139" s="2">
        <f t="shared" si="3"/>
        <v>3</v>
      </c>
      <c r="F139" s="2">
        <f>D139-K139-L139</f>
        <v>3</v>
      </c>
      <c r="H139" s="2" t="str">
        <f t="shared" si="6"/>
        <v/>
      </c>
      <c r="J139" s="2" t="str">
        <f t="shared" si="7"/>
        <v/>
      </c>
      <c r="K139" s="2">
        <v>2</v>
      </c>
      <c r="L139" s="2">
        <v>2</v>
      </c>
    </row>
    <row r="140" spans="1:12" x14ac:dyDescent="0.25">
      <c r="A140" s="6">
        <v>45075</v>
      </c>
      <c r="B140" s="2">
        <v>13</v>
      </c>
      <c r="C140" s="2">
        <v>5</v>
      </c>
      <c r="D140" s="2">
        <v>9</v>
      </c>
      <c r="E140" s="2">
        <f t="shared" si="3"/>
        <v>4</v>
      </c>
      <c r="F140" s="2">
        <f>D140-K140-L140</f>
        <v>6</v>
      </c>
      <c r="H140" s="2" t="str">
        <f t="shared" si="6"/>
        <v/>
      </c>
      <c r="I140" s="2" t="s">
        <v>53</v>
      </c>
      <c r="J140" s="2">
        <f t="shared" si="7"/>
        <v>4</v>
      </c>
      <c r="K140" s="2">
        <v>0</v>
      </c>
      <c r="L140" s="2">
        <v>3</v>
      </c>
    </row>
    <row r="141" spans="1:12" x14ac:dyDescent="0.25">
      <c r="A141" s="6">
        <v>45075</v>
      </c>
      <c r="B141" s="2">
        <v>14</v>
      </c>
      <c r="C141" s="2">
        <v>4</v>
      </c>
      <c r="D141" s="2">
        <v>4</v>
      </c>
      <c r="E141" s="2">
        <f t="shared" si="3"/>
        <v>0</v>
      </c>
      <c r="F141" s="2">
        <f>D141-K141-L141</f>
        <v>2</v>
      </c>
      <c r="H141" s="2" t="str">
        <f t="shared" si="6"/>
        <v/>
      </c>
      <c r="J141" s="2" t="str">
        <f t="shared" si="7"/>
        <v/>
      </c>
      <c r="K141" s="2">
        <v>1</v>
      </c>
      <c r="L141" s="2">
        <v>1</v>
      </c>
    </row>
    <row r="142" spans="1:12" x14ac:dyDescent="0.25">
      <c r="A142" s="6">
        <v>45075</v>
      </c>
      <c r="B142" s="2">
        <v>15</v>
      </c>
      <c r="C142" s="2">
        <v>4</v>
      </c>
      <c r="D142" s="2">
        <v>6</v>
      </c>
      <c r="E142" s="2">
        <f t="shared" si="3"/>
        <v>2</v>
      </c>
      <c r="F142" s="2">
        <f>D142-K142-L142</f>
        <v>3</v>
      </c>
      <c r="H142" s="2" t="str">
        <f t="shared" si="6"/>
        <v/>
      </c>
      <c r="J142" s="2" t="str">
        <f t="shared" si="7"/>
        <v/>
      </c>
      <c r="K142" s="2">
        <v>2</v>
      </c>
      <c r="L142" s="2">
        <v>1</v>
      </c>
    </row>
    <row r="143" spans="1:12" x14ac:dyDescent="0.25">
      <c r="A143" s="6">
        <v>45075</v>
      </c>
      <c r="B143" s="2">
        <v>16</v>
      </c>
      <c r="C143" s="2">
        <v>3</v>
      </c>
      <c r="D143" s="2">
        <v>5</v>
      </c>
      <c r="E143" s="2">
        <f t="shared" si="3"/>
        <v>2</v>
      </c>
      <c r="F143" s="2">
        <f>D143-K143-L143</f>
        <v>2</v>
      </c>
      <c r="G143" s="2" t="s">
        <v>18</v>
      </c>
      <c r="H143" s="2">
        <f t="shared" si="6"/>
        <v>1</v>
      </c>
      <c r="J143" s="2" t="str">
        <f t="shared" si="7"/>
        <v/>
      </c>
      <c r="K143" s="2">
        <v>1</v>
      </c>
      <c r="L143" s="2">
        <v>2</v>
      </c>
    </row>
    <row r="144" spans="1:12" x14ac:dyDescent="0.25">
      <c r="A144" s="6">
        <v>45075</v>
      </c>
      <c r="B144" s="2">
        <v>17</v>
      </c>
      <c r="C144" s="2">
        <v>4</v>
      </c>
      <c r="D144" s="2">
        <v>6</v>
      </c>
      <c r="E144" s="2">
        <f t="shared" si="3"/>
        <v>2</v>
      </c>
      <c r="F144" s="2">
        <f>D144-K144-L144</f>
        <v>2</v>
      </c>
      <c r="H144" s="2" t="str">
        <f t="shared" si="6"/>
        <v/>
      </c>
      <c r="J144" s="2" t="str">
        <f t="shared" si="7"/>
        <v/>
      </c>
      <c r="K144" s="2">
        <v>1</v>
      </c>
      <c r="L144" s="2">
        <v>3</v>
      </c>
    </row>
    <row r="145" spans="1:12" x14ac:dyDescent="0.25">
      <c r="A145" s="6">
        <v>45075</v>
      </c>
      <c r="B145" s="2">
        <v>18</v>
      </c>
      <c r="C145" s="2">
        <v>5</v>
      </c>
      <c r="D145" s="2">
        <v>11</v>
      </c>
      <c r="E145" s="2">
        <f t="shared" si="3"/>
        <v>6</v>
      </c>
      <c r="F145" s="2">
        <f>D145-K145-L145</f>
        <v>7</v>
      </c>
      <c r="H145" s="2" t="str">
        <f t="shared" si="6"/>
        <v/>
      </c>
      <c r="J145" s="2" t="str">
        <f t="shared" si="7"/>
        <v/>
      </c>
      <c r="K145" s="2">
        <v>1</v>
      </c>
      <c r="L145" s="2">
        <v>3</v>
      </c>
    </row>
    <row r="146" spans="1:12" x14ac:dyDescent="0.25">
      <c r="A146" s="6"/>
      <c r="B146" s="2"/>
      <c r="C146" s="2"/>
      <c r="D146" s="2"/>
      <c r="E146" s="2"/>
      <c r="F146" s="2"/>
      <c r="H146" s="2"/>
      <c r="J146" s="2"/>
      <c r="K146" s="2"/>
      <c r="L146" s="2"/>
    </row>
    <row r="147" spans="1:12" x14ac:dyDescent="0.25">
      <c r="A147" s="6"/>
      <c r="B147" s="2"/>
      <c r="C147" s="2"/>
      <c r="D147" s="2"/>
      <c r="E147" s="2"/>
      <c r="H147" s="2"/>
      <c r="J147" s="2"/>
    </row>
    <row r="148" spans="1:12" x14ac:dyDescent="0.25">
      <c r="A148" s="6"/>
      <c r="B148" s="2"/>
      <c r="C148" s="2"/>
      <c r="D148" s="2"/>
      <c r="E148" s="2"/>
      <c r="H148" s="2"/>
      <c r="J148" s="2"/>
    </row>
    <row r="149" spans="1:12" x14ac:dyDescent="0.25">
      <c r="B149" s="2"/>
      <c r="C149" s="2"/>
      <c r="H149" s="2"/>
      <c r="J149" s="2"/>
    </row>
    <row r="150" spans="1:12" x14ac:dyDescent="0.25">
      <c r="B150" s="2"/>
      <c r="C150" s="2"/>
      <c r="H150" s="2"/>
      <c r="J150" s="2"/>
    </row>
    <row r="151" spans="1:12" x14ac:dyDescent="0.25">
      <c r="B151" s="2"/>
      <c r="C151" s="2"/>
      <c r="H151" s="2"/>
      <c r="J151" s="2"/>
    </row>
    <row r="152" spans="1:12" x14ac:dyDescent="0.25">
      <c r="B152" s="2"/>
      <c r="C152" s="2"/>
      <c r="H152" s="2"/>
      <c r="J152" s="2"/>
    </row>
    <row r="153" spans="1:12" x14ac:dyDescent="0.25">
      <c r="B153" s="2"/>
      <c r="C153" s="2"/>
      <c r="H153" s="2"/>
      <c r="J153" s="2"/>
    </row>
    <row r="154" spans="1:12" x14ac:dyDescent="0.25">
      <c r="B154" s="2"/>
      <c r="C154" s="2"/>
      <c r="H154" s="2"/>
      <c r="J154" s="2"/>
    </row>
    <row r="155" spans="1:12" x14ac:dyDescent="0.25">
      <c r="B155" s="2"/>
      <c r="C155" s="2"/>
      <c r="H155" s="2"/>
      <c r="J155" s="2"/>
    </row>
    <row r="156" spans="1:12" x14ac:dyDescent="0.25">
      <c r="B156" s="2"/>
      <c r="C156" s="2"/>
      <c r="H156" s="2"/>
      <c r="J156" s="2"/>
    </row>
    <row r="157" spans="1:12" x14ac:dyDescent="0.25">
      <c r="B157" s="2"/>
      <c r="C157" s="2"/>
      <c r="H157" s="2"/>
      <c r="J157" s="2"/>
    </row>
    <row r="158" spans="1:12" x14ac:dyDescent="0.25">
      <c r="B158" s="2"/>
      <c r="C158" s="2"/>
      <c r="H158" s="2"/>
      <c r="J158" s="2"/>
    </row>
    <row r="159" spans="1:12" x14ac:dyDescent="0.25">
      <c r="B159" s="2"/>
      <c r="C159" s="2"/>
      <c r="H159" s="2"/>
      <c r="J159" s="2"/>
    </row>
    <row r="160" spans="1:12" x14ac:dyDescent="0.25">
      <c r="B160" s="2"/>
      <c r="C160" s="2"/>
      <c r="H160" s="2"/>
      <c r="J160" s="2"/>
    </row>
    <row r="161" spans="2:10" x14ac:dyDescent="0.25">
      <c r="B161" s="2"/>
      <c r="C161" s="2"/>
      <c r="H161" s="2"/>
      <c r="J161" s="2"/>
    </row>
    <row r="162" spans="2:10" x14ac:dyDescent="0.25">
      <c r="B162" s="2"/>
      <c r="C162" s="2"/>
      <c r="H162" s="2"/>
      <c r="J16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38E34-B403-443C-A496-5AC72D413828}">
  <sheetPr codeName="Sheet5"/>
  <dimension ref="A1:H18"/>
  <sheetViews>
    <sheetView workbookViewId="0">
      <selection activeCell="H18" sqref="H18"/>
    </sheetView>
  </sheetViews>
  <sheetFormatPr defaultRowHeight="15" x14ac:dyDescent="0.25"/>
  <cols>
    <col min="1" max="1" width="7.85546875" bestFit="1" customWidth="1"/>
    <col min="2" max="2" width="17.85546875" bestFit="1" customWidth="1"/>
  </cols>
  <sheetData>
    <row r="1" spans="1:2" x14ac:dyDescent="0.25">
      <c r="A1" s="12" t="s">
        <v>15</v>
      </c>
      <c r="B1" s="12" t="s">
        <v>14</v>
      </c>
    </row>
    <row r="2" spans="1:2" x14ac:dyDescent="0.25">
      <c r="A2" s="11" t="s">
        <v>18</v>
      </c>
      <c r="B2" s="11" t="s">
        <v>23</v>
      </c>
    </row>
    <row r="3" spans="1:2" x14ac:dyDescent="0.25">
      <c r="A3" s="11" t="s">
        <v>13</v>
      </c>
      <c r="B3" s="11" t="s">
        <v>19</v>
      </c>
    </row>
    <row r="4" spans="1:2" x14ac:dyDescent="0.25">
      <c r="A4" s="11" t="s">
        <v>10</v>
      </c>
      <c r="B4" s="11" t="s">
        <v>9</v>
      </c>
    </row>
    <row r="5" spans="1:2" x14ac:dyDescent="0.25">
      <c r="A5" s="11" t="s">
        <v>12</v>
      </c>
      <c r="B5" s="11" t="s">
        <v>4</v>
      </c>
    </row>
    <row r="6" spans="1:2" x14ac:dyDescent="0.25">
      <c r="A6" s="11" t="s">
        <v>11</v>
      </c>
      <c r="B6" s="11" t="s">
        <v>7</v>
      </c>
    </row>
    <row r="7" spans="1:2" x14ac:dyDescent="0.25">
      <c r="A7" s="11" t="s">
        <v>22</v>
      </c>
      <c r="B7" s="11" t="s">
        <v>8</v>
      </c>
    </row>
    <row r="8" spans="1:2" x14ac:dyDescent="0.25">
      <c r="A8" s="11" t="s">
        <v>21</v>
      </c>
      <c r="B8" s="11" t="s">
        <v>20</v>
      </c>
    </row>
    <row r="9" spans="1:2" x14ac:dyDescent="0.25">
      <c r="A9" s="11"/>
      <c r="B9" s="11"/>
    </row>
    <row r="10" spans="1:2" x14ac:dyDescent="0.25">
      <c r="A10" s="11"/>
      <c r="B10" s="11"/>
    </row>
    <row r="11" spans="1:2" x14ac:dyDescent="0.25">
      <c r="A11" s="11"/>
      <c r="B11" s="11"/>
    </row>
    <row r="12" spans="1:2" x14ac:dyDescent="0.25">
      <c r="A12" s="11"/>
      <c r="B12" s="11"/>
    </row>
    <row r="13" spans="1:2" x14ac:dyDescent="0.25">
      <c r="A13" s="11"/>
      <c r="B13" s="11"/>
    </row>
    <row r="14" spans="1:2" x14ac:dyDescent="0.25">
      <c r="A14" s="11"/>
      <c r="B14" s="11"/>
    </row>
    <row r="15" spans="1:2" x14ac:dyDescent="0.25">
      <c r="A15" s="11"/>
      <c r="B15" s="11"/>
    </row>
    <row r="18" spans="8:8" x14ac:dyDescent="0.25">
      <c r="H18" s="13"/>
    </row>
  </sheetData>
  <autoFilter ref="A1:A8" xr:uid="{B4138E34-B403-443C-A496-5AC72D413828}"/>
  <sortState xmlns:xlrd2="http://schemas.microsoft.com/office/spreadsheetml/2017/richdata2" ref="A2:B8">
    <sortCondition ref="A1:A8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TotalScore</vt:lpstr>
      <vt:lpstr>AvgScore</vt:lpstr>
      <vt:lpstr>AvgChips</vt:lpstr>
      <vt:lpstr>AvgPutts</vt:lpstr>
      <vt:lpstr>AvgMistakes</vt:lpstr>
      <vt:lpstr>Data</vt:lpstr>
      <vt:lpstr>Codebook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Chae Kim</dc:creator>
  <cp:lastModifiedBy>Chae Kim</cp:lastModifiedBy>
  <dcterms:created xsi:type="dcterms:W3CDTF">2023-02-07T01:14:01Z</dcterms:created>
  <dcterms:modified xsi:type="dcterms:W3CDTF">2023-06-13T07:02:57Z</dcterms:modified>
</cp:coreProperties>
</file>